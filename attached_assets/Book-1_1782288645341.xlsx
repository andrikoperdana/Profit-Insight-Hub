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EC\Downloads\"/>
    </mc:Choice>
  </mc:AlternateContent>
  <xr:revisionPtr revIDLastSave="0" documentId="8_{40CF8EEF-CBFD-4DE4-BC59-D80885D6ECB9}" xr6:coauthVersionLast="47" xr6:coauthVersionMax="47" xr10:uidLastSave="{00000000-0000-0000-0000-000000000000}"/>
  <bookViews>
    <workbookView xWindow="-108" yWindow="-108" windowWidth="23256" windowHeight="12456" xr2:uid="{46253CC7-11E1-4075-8EB7-5FE962EF3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tc={9F5547CE-DB23-43EE-85D6-66D69D9FC1BC}</author>
    <author>tc={B0257176-D76C-4171-B512-4EDCFD6546FA}</author>
  </authors>
  <commentList>
    <comment ref="AB1" authorId="0" shapeId="0" xr:uid="{9F5547CE-DB23-43EE-85D6-66D69D9FC1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@noventina@itsecasia.com please change it into week
Assigned to noventina@itsecasia.com</t>
      </text>
    </comment>
    <comment ref="W3" authorId="1" shapeId="0" xr:uid="{B0257176-D76C-4171-B512-4EDCFD6546F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@raihansyah@itsecasia.com please use this column to update the proper PM
When done @noventina@itsecasia.com please download the new list for week 20
Assigned to raihansyah@itsecasia.com
Reply:
    Hi Seb @sebastien@itsecasia.com , I have updated each project which has PMO in charge in PSOhub. You can see the status in column X.
HI mbak Ventin @noventina@itsecasia.com you may proceed.</t>
      </text>
    </comment>
  </commentList>
</comments>
</file>

<file path=xl/sharedStrings.xml><?xml version="1.0" encoding="utf-8"?>
<sst xmlns="http://schemas.openxmlformats.org/spreadsheetml/2006/main" count="80" uniqueCount="80">
  <si>
    <t>Anomalies</t>
  </si>
  <si>
    <t>To be Invoice</t>
  </si>
  <si>
    <t>Project</t>
  </si>
  <si>
    <t>Customer</t>
  </si>
  <si>
    <t>Project Number</t>
  </si>
  <si>
    <t>Project manager</t>
  </si>
  <si>
    <t>Target start date</t>
  </si>
  <si>
    <t>Expected end date</t>
  </si>
  <si>
    <t>Type</t>
  </si>
  <si>
    <t>Stage</t>
  </si>
  <si>
    <t>Selling amount</t>
  </si>
  <si>
    <t>Invoiced</t>
  </si>
  <si>
    <t>Remaining Invoice</t>
  </si>
  <si>
    <t>Used hours</t>
  </si>
  <si>
    <t>Budget Hours</t>
  </si>
  <si>
    <t>Delta Hours</t>
  </si>
  <si>
    <t>Used costs</t>
  </si>
  <si>
    <t>Budget Costs</t>
  </si>
  <si>
    <t>Delta Costs</t>
  </si>
  <si>
    <t>Estimated Margin</t>
  </si>
  <si>
    <t>Actual Margin</t>
  </si>
  <si>
    <t>Delta Margin</t>
  </si>
  <si>
    <t>Currency</t>
  </si>
  <si>
    <t>PM comments</t>
  </si>
  <si>
    <t>PMO In Charge</t>
  </si>
  <si>
    <t>Updated/Not Updated in PSOhub (if applicable)</t>
  </si>
  <si>
    <t>Unusual Margin</t>
  </si>
  <si>
    <t>Zero Budget</t>
  </si>
  <si>
    <t>PM</t>
  </si>
  <si>
    <t>W14 (30-5)</t>
  </si>
  <si>
    <t>W15 (6-12)</t>
  </si>
  <si>
    <t>W16 (13-19)</t>
  </si>
  <si>
    <t>W17 (20-26)</t>
  </si>
  <si>
    <t>W18 (27-3)</t>
  </si>
  <si>
    <t>W19 (4-10)</t>
  </si>
  <si>
    <t>W20 (11-17)</t>
  </si>
  <si>
    <t>W21 (18-24)</t>
  </si>
  <si>
    <t>W22 (25-31)</t>
  </si>
  <si>
    <t>W23 (1-7)</t>
  </si>
  <si>
    <t>W24 (8-14)</t>
  </si>
  <si>
    <t>W25 (15-21)</t>
  </si>
  <si>
    <t>W26 (22-28)</t>
  </si>
  <si>
    <t>W27 (29-5)</t>
  </si>
  <si>
    <t>W28 (6-12)</t>
  </si>
  <si>
    <t>W29 (13-19)</t>
  </si>
  <si>
    <t>W30 (20-26)</t>
  </si>
  <si>
    <t>W31 (27-2)</t>
  </si>
  <si>
    <t>W32 (3-9)</t>
  </si>
  <si>
    <t>W33 (10-16)</t>
  </si>
  <si>
    <t>W34 (17-23)</t>
  </si>
  <si>
    <t>W35 (24-30)</t>
  </si>
  <si>
    <t>W36 (31-6)</t>
  </si>
  <si>
    <t>W37 (7-13)</t>
  </si>
  <si>
    <t>W38 (14-20)</t>
  </si>
  <si>
    <t>W39 (21-27)</t>
  </si>
  <si>
    <t>W40 (28-4)</t>
  </si>
  <si>
    <t>W41 (5-11)</t>
  </si>
  <si>
    <t>W42 (12-18)</t>
  </si>
  <si>
    <t>W43 (19-25)</t>
  </si>
  <si>
    <t>W44 (26-1)</t>
  </si>
  <si>
    <t>W45 (2-8)</t>
  </si>
  <si>
    <t>W46 (9-15)</t>
  </si>
  <si>
    <t>W47 (16-22)</t>
  </si>
  <si>
    <t>W48 (23-29)</t>
  </si>
  <si>
    <t>W49 (30-6)</t>
  </si>
  <si>
    <t>W50 (7-13)</t>
  </si>
  <si>
    <t>W51 (14-20)</t>
  </si>
  <si>
    <t>W52 (21-27)</t>
  </si>
  <si>
    <t>W53 (28-3)</t>
  </si>
  <si>
    <t>PRO-2026-483</t>
  </si>
  <si>
    <t>Andriko Perdana</t>
  </si>
  <si>
    <t>ITSEC - Offensive Security (VAPT / Red Teaming)</t>
  </si>
  <si>
    <t>Active</t>
  </si>
  <si>
    <t>IDR</t>
  </si>
  <si>
    <t>The final invoice is contingent upon the 100% completion of remediation, as per the terms of the current contract.</t>
  </si>
  <si>
    <t>Yes</t>
  </si>
  <si>
    <t>No</t>
  </si>
  <si>
    <t>PMO</t>
  </si>
  <si>
    <t>Saspen</t>
  </si>
  <si>
    <t xml:space="preserve">Bank - Pentest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</si>
</sst>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mm/dd/yyyy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FFF2CC"/>
        <bgColor rgb="FFFFF2CC"/>
      </patternFill>
    </fill>
    <fill>
      <patternFill patternType="solid">
        <fgColor rgb="FF85200C"/>
        <bgColor rgb="FF85200C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64" fontId="3" fillId="4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0" borderId="0" xfId="0" applyFont="1"/>
    <xf numFmtId="0" fontId="2" fillId="0" borderId="0" xfId="0" applyFont="1"/>
    <xf numFmtId="165" fontId="6" fillId="0" borderId="0" xfId="0" applyNumberFormat="1" applyFont="1"/>
    <xf numFmtId="3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10" fontId="6" fillId="0" borderId="0" xfId="0" applyNumberFormat="1" applyFon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541B9A40-A30E-441D-A20E-57CB560FF494}">
    <Anchor>
      <Comment id="{B0257176-D76C-4171-B512-4EDCFD6546FA}"/>
    </Anchor>
    <History>
      <Event time="2026-05-18T07:23:37.0" id="{8EFBD894-0150-4952-B084-8FCEFBF1B742}">
        <Attribution userId="placeholder@email.com" userName="Sebastien Dominique Poutignat" userProvider="google-sheets"/>
        <Anchor>
          <Comment id="{B0257176-D76C-4171-B512-4EDCFD6546FA}"/>
        </Anchor>
        <Create/>
      </Event>
      <Event time="2026-05-18T07:23:37.0" id="{95D41B46-4A0C-4DB7-ACCF-7BE57AFF4F79}">
        <Attribution userId="placeholder@email.com" userName="Sebastien Dominique Poutignat" userProvider="google-sheets"/>
        <Anchor>
          <Comment id="{B0257176-D76C-4171-B512-4EDCFD6546FA}"/>
        </Anchor>
        <Assign userId="raihansyah@itsecasia.com" userName="raihansyah@itsecasia.com" userProvider="google-sheets"/>
      </Event>
    </History>
  </Task>
  <Task id="{2C582A44-1FCA-4EF6-A984-A900EC987CEC}">
    <Anchor>
      <Comment id="{9F5547CE-DB23-43EE-85D6-66D69D9FC1BC}"/>
    </Anchor>
    <History>
      <Event time="2026-05-05T03:11:40.0" id="{F44FFD28-7C5D-4441-BC6A-AF97B3E9A8FC}">
        <Attribution userId="placeholder@email.com" userName="Sebastien Dominique Poutignat" userProvider="google-sheets"/>
        <Anchor>
          <Comment id="{9F5547CE-DB23-43EE-85D6-66D69D9FC1BC}"/>
        </Anchor>
        <Create/>
      </Event>
      <Event time="2026-05-05T03:11:40.0" id="{F810DF7E-E629-4E80-9EC9-1B56DE5BDCD0}">
        <Attribution userId="placeholder@email.com" userName="Sebastien Dominique Poutignat" userProvider="google-sheets"/>
        <Anchor>
          <Comment id="{9F5547CE-DB23-43EE-85D6-66D69D9FC1BC}"/>
        </Anchor>
        <Assign userId="noventina@itsecasia.com" userName="noventina@itsecasia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Raihansyah Ramadhan" id="{B37EC5E2-6A88-4993-9D59-2A43610ED4C7}" userId="" providerId="google-sheets"/>
  <person displayName="Sebastien Dominique Poutignat" id="{27351733-4950-44A7-B7C2-7C03CCE6EE85}" userId="" providerId="google-sheets"/>
  <person displayName="noventina@itsecasia.com" id="{D7B0D63E-C30F-485A-A815-643FED0B41E3}" userId="noventina@itsecasia.com" providerId="PeoplePicker"/>
  <person displayName="sebastien@itsecasia.com" id="{CB119E8E-2873-4B2D-BB17-4D1E6CC8DF51}" userId="sebastien@itsecasia.com" providerId="PeoplePicker"/>
  <person displayName="raihansyah@itsecasia.com" id="{4BEB7D61-B938-4B22-88A9-EF2B57CC1840}" userId="raihansyah@itsecasia.com" providerId="PeoplePicker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" dT="2026-05-05T03:11:40.00" personId="{27351733-4950-44A7-B7C2-7C03CCE6EE85}" id="{9F5547CE-DB23-43EE-85D6-66D69D9FC1BC}">
    <text>@noventina@itsecasia.com please change it into week
Assigned to noventina@itsecasia.com</text>
    <mentions>
      <mention mentionpersonId="{D7B0D63E-C30F-485A-A815-643FED0B41E3}" mentionId="{0062E2BC-7601-4026-A74A-261DACEEEFBB}" startIndex="0" length="24"/>
    </mentions>
  </threadedComment>
  <threadedComment ref="W3" dT="2026-05-18T07:23:37.00" personId="{27351733-4950-44A7-B7C2-7C03CCE6EE85}" id="{B0257176-D76C-4171-B512-4EDCFD6546FA}">
    <text>@raihansyah@itsecasia.com please use this column to update the proper PM
When done @noventina@itsecasia.com please download the new list for week 20
Assigned to raihansyah@itsecasia.com</text>
    <mentions>
      <mention mentionpersonId="{4BEB7D61-B938-4B22-88A9-EF2B57CC1840}" mentionId="{8136C78F-1437-4926-A87D-A53A6B0210B2}" startIndex="0" length="25"/>
      <mention mentionpersonId="{D7B0D63E-C30F-485A-A815-643FED0B41E3}" mentionId="{6405D58C-1766-40D8-8C2F-E3C54865C164}" startIndex="83" length="24"/>
    </mentions>
  </threadedComment>
  <threadedComment ref="W3" dT="2026-05-18T13:39:14.00" personId="{B37EC5E2-6A88-4993-9D59-2A43610ED4C7}" id="{019AA551-BA88-4014-BDF1-508950DB525D}" parentId="{B0257176-D76C-4171-B512-4EDCFD6546FA}">
    <text>Hi Seb @sebastien@itsecasia.com , I have updated each project which has PMO in charge in PSOhub. You can see the status in column X.
HI mbak Ventin @noventina@itsecasia.com you may proceed.</text>
    <mentions>
      <mention mentionpersonId="{CB119E8E-2873-4B2D-BB17-4D1E6CC8DF51}" mentionId="{5110433A-57F5-4273-A3CE-AC56D36514FD}" startIndex="7" length="24"/>
      <mention mentionpersonId="{D7B0D63E-C30F-485A-A815-643FED0B41E3}" mentionId="{6712AEC7-7F12-4B55-82B5-B65DF16FB8C0}" startIndex="149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7FB2-9B12-491C-97E2-219A27F03802}">
  <dimension ref="A1:BO4"/>
  <sheetViews>
    <sheetView tabSelected="1" workbookViewId="0">
      <selection activeCell="A4" sqref="A4"/>
    </sheetView>
  </sheetViews>
  <sheetFormatPr defaultRowHeight="14.4" x14ac:dyDescent="0.3"/>
  <cols>
    <col min="2" max="2" width="27.21875" customWidth="1"/>
    <col min="5" max="5" width="19.88671875" customWidth="1"/>
    <col min="9" max="9" width="21.5546875" customWidth="1"/>
    <col min="11" max="11" width="16.109375" customWidth="1"/>
    <col min="15" max="15" width="16.88671875" customWidth="1"/>
    <col min="16" max="17" width="12.109375" customWidth="1"/>
  </cols>
  <sheetData>
    <row r="1" spans="1: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3"/>
      <c r="X1" s="2"/>
      <c r="Y1" s="4" t="s">
        <v>0</v>
      </c>
      <c r="Z1" s="5"/>
      <c r="AA1" s="5"/>
      <c r="AB1" s="6" t="s">
        <v>1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</row>
    <row r="2" spans="1:67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9">
        <v>46113</v>
      </c>
      <c r="AC2" s="7"/>
      <c r="AD2" s="7"/>
      <c r="AE2" s="7"/>
      <c r="AF2" s="8"/>
      <c r="AG2" s="9">
        <v>46143</v>
      </c>
      <c r="AH2" s="7"/>
      <c r="AI2" s="7"/>
      <c r="AJ2" s="8"/>
      <c r="AK2" s="9">
        <v>46174</v>
      </c>
      <c r="AL2" s="7"/>
      <c r="AM2" s="7"/>
      <c r="AN2" s="8"/>
      <c r="AO2" s="9">
        <v>46204</v>
      </c>
      <c r="AP2" s="7"/>
      <c r="AQ2" s="7"/>
      <c r="AR2" s="7"/>
      <c r="AS2" s="8"/>
      <c r="AT2" s="9">
        <v>46235</v>
      </c>
      <c r="AU2" s="7"/>
      <c r="AV2" s="7"/>
      <c r="AW2" s="8"/>
      <c r="AX2" s="9">
        <v>46266</v>
      </c>
      <c r="AY2" s="7"/>
      <c r="AZ2" s="7"/>
      <c r="BA2" s="7"/>
      <c r="BB2" s="8"/>
      <c r="BC2" s="9">
        <v>46296</v>
      </c>
      <c r="BD2" s="7"/>
      <c r="BE2" s="7"/>
      <c r="BF2" s="8"/>
      <c r="BG2" s="9">
        <v>46327</v>
      </c>
      <c r="BH2" s="7"/>
      <c r="BI2" s="7"/>
      <c r="BJ2" s="8"/>
      <c r="BK2" s="9">
        <v>46357</v>
      </c>
      <c r="BL2" s="7"/>
      <c r="BM2" s="7"/>
      <c r="BN2" s="7"/>
      <c r="BO2" s="8"/>
    </row>
    <row r="3" spans="1:67" ht="15.6" x14ac:dyDescent="0.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  <c r="U3" s="10" t="s">
        <v>22</v>
      </c>
      <c r="V3" s="11" t="s">
        <v>23</v>
      </c>
      <c r="W3" s="12" t="s">
        <v>24</v>
      </c>
      <c r="X3" s="11" t="s">
        <v>25</v>
      </c>
      <c r="Y3" s="12" t="s">
        <v>26</v>
      </c>
      <c r="Z3" s="12" t="s">
        <v>27</v>
      </c>
      <c r="AA3" s="12" t="s">
        <v>28</v>
      </c>
      <c r="AB3" s="13" t="s">
        <v>29</v>
      </c>
      <c r="AC3" s="13" t="s">
        <v>30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13" t="s">
        <v>41</v>
      </c>
      <c r="AO3" s="13" t="s">
        <v>42</v>
      </c>
      <c r="AP3" s="13" t="s">
        <v>43</v>
      </c>
      <c r="AQ3" s="13" t="s">
        <v>44</v>
      </c>
      <c r="AR3" s="13" t="s">
        <v>45</v>
      </c>
      <c r="AS3" s="13" t="s">
        <v>46</v>
      </c>
      <c r="AT3" s="13" t="s">
        <v>47</v>
      </c>
      <c r="AU3" s="13" t="s">
        <v>48</v>
      </c>
      <c r="AV3" s="13" t="s">
        <v>49</v>
      </c>
      <c r="AW3" s="13" t="s">
        <v>50</v>
      </c>
      <c r="AX3" s="13" t="s">
        <v>51</v>
      </c>
      <c r="AY3" s="13" t="s">
        <v>52</v>
      </c>
      <c r="AZ3" s="13" t="s">
        <v>53</v>
      </c>
      <c r="BA3" s="13" t="s">
        <v>54</v>
      </c>
      <c r="BB3" s="13" t="s">
        <v>55</v>
      </c>
      <c r="BC3" s="13" t="s">
        <v>56</v>
      </c>
      <c r="BD3" s="13" t="s">
        <v>57</v>
      </c>
      <c r="BE3" s="13" t="s">
        <v>58</v>
      </c>
      <c r="BF3" s="13" t="s">
        <v>59</v>
      </c>
      <c r="BG3" s="13" t="s">
        <v>60</v>
      </c>
      <c r="BH3" s="13" t="s">
        <v>61</v>
      </c>
      <c r="BI3" s="13" t="s">
        <v>62</v>
      </c>
      <c r="BJ3" s="13" t="s">
        <v>63</v>
      </c>
      <c r="BK3" s="13" t="s">
        <v>64</v>
      </c>
      <c r="BL3" s="13" t="s">
        <v>65</v>
      </c>
      <c r="BM3" s="13" t="s">
        <v>66</v>
      </c>
      <c r="BN3" s="13" t="s">
        <v>67</v>
      </c>
      <c r="BO3" s="13" t="s">
        <v>68</v>
      </c>
    </row>
    <row r="4" spans="1:67" ht="15.6" x14ac:dyDescent="0.3">
      <c r="A4" s="14" t="s">
        <v>79</v>
      </c>
      <c r="B4" s="14" t="s">
        <v>78</v>
      </c>
      <c r="C4" s="14" t="s">
        <v>69</v>
      </c>
      <c r="D4" s="15" t="s">
        <v>70</v>
      </c>
      <c r="E4" s="16">
        <v>46119</v>
      </c>
      <c r="F4" s="16"/>
      <c r="G4" s="14" t="s">
        <v>71</v>
      </c>
      <c r="H4" s="14" t="s">
        <v>72</v>
      </c>
      <c r="I4" s="17">
        <v>59400000</v>
      </c>
      <c r="J4" s="17">
        <v>0</v>
      </c>
      <c r="K4" s="17">
        <v>59400000</v>
      </c>
      <c r="L4" s="17">
        <v>58.65</v>
      </c>
      <c r="M4" s="17">
        <v>88</v>
      </c>
      <c r="N4" s="17">
        <v>-29.35</v>
      </c>
      <c r="O4" s="17">
        <v>14030268.75</v>
      </c>
      <c r="P4" s="17">
        <v>33226000</v>
      </c>
      <c r="Q4" s="17">
        <v>-19195731.25</v>
      </c>
      <c r="R4" s="18">
        <v>0.44059999999999999</v>
      </c>
      <c r="S4" s="18">
        <v>0.76380000000000003</v>
      </c>
      <c r="T4" s="19">
        <v>0.32320000000000004</v>
      </c>
      <c r="U4" s="14" t="s">
        <v>73</v>
      </c>
      <c r="V4" s="20" t="s">
        <v>74</v>
      </c>
      <c r="W4" s="21"/>
      <c r="X4" s="20"/>
      <c r="Y4" s="21" t="s">
        <v>75</v>
      </c>
      <c r="Z4" s="21" t="s">
        <v>76</v>
      </c>
      <c r="AA4" s="21" t="s">
        <v>77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</row>
  </sheetData>
  <mergeCells count="35">
    <mergeCell ref="BK2:BO2"/>
    <mergeCell ref="Y1:AA2"/>
    <mergeCell ref="AB1:BO1"/>
    <mergeCell ref="AB2:AF2"/>
    <mergeCell ref="AG2:AJ2"/>
    <mergeCell ref="AK2:AN2"/>
    <mergeCell ref="AO2:AS2"/>
    <mergeCell ref="AT2:AW2"/>
    <mergeCell ref="AX2:BB2"/>
    <mergeCell ref="BC2:BF2"/>
    <mergeCell ref="BG2:BJ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Y4:Z4">
    <cfRule type="containsText" dxfId="2" priority="1" operator="containsText" text="Yes">
      <formula>NOT(ISERROR(SEARCH(("Yes"),(Y4))))</formula>
    </cfRule>
  </conditionalFormatting>
  <conditionalFormatting sqref="AA4">
    <cfRule type="containsText" dxfId="1" priority="2" operator="containsText" text="Sales">
      <formula>NOT(ISERROR(SEARCH(("Sales"),(AA4))))</formula>
    </cfRule>
    <cfRule type="containsText" dxfId="0" priority="3" operator="containsText" text="Blank">
      <formula>NOT(ISERROR(SEARCH(("Blank"),(AA4))))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Andriko Perdana</dc:creator>
  <cp:lastModifiedBy>Andriko Perdana</cp:lastModifiedBy>
  <dcterms:created xsi:type="dcterms:W3CDTF">2026-06-24T08:07:56Z</dcterms:created>
  <dcterms:modified xsi:type="dcterms:W3CDTF">2026-06-24T08:09:22Z</dcterms:modified>
</cp:coreProperties>
</file>