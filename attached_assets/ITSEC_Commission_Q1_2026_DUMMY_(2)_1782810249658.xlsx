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SEC\Downloads\"/>
    </mc:Choice>
  </mc:AlternateContent>
  <xr:revisionPtr revIDLastSave="0" documentId="11_126C163A40F71333BEED4BB022531407C2781DED" xr6:coauthVersionLast="47" xr6:coauthVersionMax="47" xr10:uidLastSave="{00000000-0000-0000-0000-000000000000}"/>
  <bookViews>
    <workbookView xWindow="-98" yWindow="-98" windowWidth="21795" windowHeight="12975" tabRatio="500" firstSheet="1" activeTab="3" xr2:uid="{00000000-000D-0000-FFFF-FFFF00000000}"/>
  </bookViews>
  <sheets>
    <sheet name="📋 Instructions" sheetId="1" r:id="rId1"/>
    <sheet name="Config" sheetId="2" r:id="rId2"/>
    <sheet name="Raw Data" sheetId="3" r:id="rId3"/>
    <sheet name="Commission Data — Sales" sheetId="4" r:id="rId4"/>
    <sheet name="Commission Data — Presales" sheetId="5" r:id="rId5"/>
    <sheet name="Summary" sheetId="6" r:id="rId6"/>
    <sheet name="Commission Slip" sheetId="7" r:id="rId7"/>
  </sheets>
  <definedNames>
    <definedName name="_xlnm._FilterDatabase" localSheetId="4" hidden="1">'Commission Data — Presales'!$B$6:$Z$205</definedName>
    <definedName name="_xlnm._FilterDatabase" localSheetId="3" hidden="1">'Commission Data — Sales'!$B$6:$AS$205</definedName>
    <definedName name="_xlnm._FilterDatabase" localSheetId="2" hidden="1">'Raw Data'!$A$3:$R$3</definedName>
    <definedName name="_xlnm.Print_Area" localSheetId="6">'Commission Slip'!$B$1:$M$47</definedName>
    <definedName name="_xlnm.Print_Titles" localSheetId="6">'Commission Slip'!$1:$4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5" i="7" l="1"/>
  <c r="N40" i="7"/>
  <c r="A40" i="7"/>
  <c r="M40" i="7" s="1"/>
  <c r="N39" i="7"/>
  <c r="A39" i="7"/>
  <c r="K39" i="7" s="1"/>
  <c r="N38" i="7"/>
  <c r="G38" i="7"/>
  <c r="F38" i="7"/>
  <c r="A38" i="7"/>
  <c r="C38" i="7" s="1"/>
  <c r="N37" i="7"/>
  <c r="A37" i="7"/>
  <c r="M37" i="7" s="1"/>
  <c r="N36" i="7"/>
  <c r="A36" i="7"/>
  <c r="I36" i="7" s="1"/>
  <c r="N35" i="7"/>
  <c r="G35" i="7"/>
  <c r="F35" i="7"/>
  <c r="E35" i="7"/>
  <c r="A35" i="7"/>
  <c r="M35" i="7" s="1"/>
  <c r="N34" i="7"/>
  <c r="G34" i="7"/>
  <c r="F34" i="7"/>
  <c r="E34" i="7"/>
  <c r="A34" i="7"/>
  <c r="M34" i="7" s="1"/>
  <c r="N33" i="7"/>
  <c r="M33" i="7"/>
  <c r="L33" i="7"/>
  <c r="K33" i="7"/>
  <c r="J33" i="7"/>
  <c r="G33" i="7"/>
  <c r="B33" i="7"/>
  <c r="A33" i="7"/>
  <c r="F33" i="7" s="1"/>
  <c r="N32" i="7"/>
  <c r="M32" i="7"/>
  <c r="L32" i="7"/>
  <c r="E32" i="7"/>
  <c r="A32" i="7"/>
  <c r="K32" i="7" s="1"/>
  <c r="N31" i="7"/>
  <c r="M31" i="7"/>
  <c r="H31" i="7"/>
  <c r="F31" i="7"/>
  <c r="E31" i="7"/>
  <c r="D31" i="7"/>
  <c r="C31" i="7"/>
  <c r="B31" i="7"/>
  <c r="A31" i="7"/>
  <c r="L31" i="7" s="1"/>
  <c r="N30" i="7"/>
  <c r="L30" i="7"/>
  <c r="K30" i="7"/>
  <c r="J30" i="7"/>
  <c r="I30" i="7"/>
  <c r="H30" i="7"/>
  <c r="G30" i="7"/>
  <c r="F30" i="7"/>
  <c r="E30" i="7"/>
  <c r="A30" i="7"/>
  <c r="D30" i="7" s="1"/>
  <c r="N29" i="7"/>
  <c r="L29" i="7"/>
  <c r="K29" i="7"/>
  <c r="J29" i="7"/>
  <c r="C29" i="7"/>
  <c r="A29" i="7"/>
  <c r="M29" i="7" s="1"/>
  <c r="N28" i="7"/>
  <c r="M28" i="7"/>
  <c r="L28" i="7"/>
  <c r="D28" i="7"/>
  <c r="C28" i="7"/>
  <c r="B28" i="7"/>
  <c r="A28" i="7"/>
  <c r="K28" i="7" s="1"/>
  <c r="N27" i="7"/>
  <c r="M27" i="7"/>
  <c r="L27" i="7"/>
  <c r="K27" i="7"/>
  <c r="J27" i="7"/>
  <c r="I27" i="7"/>
  <c r="H27" i="7"/>
  <c r="G27" i="7"/>
  <c r="F27" i="7"/>
  <c r="E27" i="7"/>
  <c r="D27" i="7"/>
  <c r="C27" i="7"/>
  <c r="A27" i="7"/>
  <c r="B27" i="7" s="1"/>
  <c r="N26" i="7"/>
  <c r="J26" i="7"/>
  <c r="I26" i="7"/>
  <c r="H26" i="7"/>
  <c r="A26" i="7"/>
  <c r="M26" i="7" s="1"/>
  <c r="N25" i="7"/>
  <c r="B25" i="7"/>
  <c r="A25" i="7"/>
  <c r="I25" i="7" s="1"/>
  <c r="N24" i="7"/>
  <c r="G24" i="7"/>
  <c r="F24" i="7"/>
  <c r="E24" i="7"/>
  <c r="D24" i="7"/>
  <c r="C24" i="7"/>
  <c r="B24" i="7"/>
  <c r="A24" i="7"/>
  <c r="M24" i="7" s="1"/>
  <c r="N23" i="7"/>
  <c r="H23" i="7"/>
  <c r="G23" i="7"/>
  <c r="F23" i="7"/>
  <c r="E23" i="7"/>
  <c r="A23" i="7"/>
  <c r="M23" i="7" s="1"/>
  <c r="N22" i="7"/>
  <c r="M22" i="7"/>
  <c r="L22" i="7"/>
  <c r="K22" i="7"/>
  <c r="J22" i="7"/>
  <c r="I22" i="7"/>
  <c r="H22" i="7"/>
  <c r="G22" i="7"/>
  <c r="C22" i="7"/>
  <c r="B22" i="7"/>
  <c r="A22" i="7"/>
  <c r="F22" i="7" s="1"/>
  <c r="N21" i="7"/>
  <c r="M21" i="7"/>
  <c r="L21" i="7"/>
  <c r="E21" i="7"/>
  <c r="A21" i="7"/>
  <c r="K21" i="7" s="1"/>
  <c r="N20" i="7"/>
  <c r="M20" i="7"/>
  <c r="I20" i="7"/>
  <c r="H20" i="7"/>
  <c r="F20" i="7"/>
  <c r="E20" i="7"/>
  <c r="D20" i="7"/>
  <c r="C20" i="7"/>
  <c r="B20" i="7"/>
  <c r="A20" i="7"/>
  <c r="L20" i="7" s="1"/>
  <c r="N19" i="7"/>
  <c r="K19" i="7"/>
  <c r="J19" i="7"/>
  <c r="I19" i="7"/>
  <c r="H19" i="7"/>
  <c r="G19" i="7"/>
  <c r="F19" i="7"/>
  <c r="E19" i="7"/>
  <c r="A19" i="7"/>
  <c r="D19" i="7" s="1"/>
  <c r="N18" i="7"/>
  <c r="L18" i="7"/>
  <c r="K18" i="7"/>
  <c r="J18" i="7"/>
  <c r="C18" i="7"/>
  <c r="A18" i="7"/>
  <c r="M18" i="7" s="1"/>
  <c r="N17" i="7"/>
  <c r="M17" i="7"/>
  <c r="D17" i="7"/>
  <c r="C17" i="7"/>
  <c r="B17" i="7"/>
  <c r="A17" i="7"/>
  <c r="K17" i="7" s="1"/>
  <c r="N16" i="7"/>
  <c r="M16" i="7"/>
  <c r="L16" i="7"/>
  <c r="K16" i="7"/>
  <c r="J16" i="7"/>
  <c r="I16" i="7"/>
  <c r="H16" i="7"/>
  <c r="G16" i="7"/>
  <c r="F16" i="7"/>
  <c r="E16" i="7"/>
  <c r="D16" i="7"/>
  <c r="C16" i="7"/>
  <c r="A16" i="7"/>
  <c r="B16" i="7" s="1"/>
  <c r="N15" i="7"/>
  <c r="J15" i="7"/>
  <c r="I15" i="7"/>
  <c r="H15" i="7"/>
  <c r="A15" i="7"/>
  <c r="M15" i="7" s="1"/>
  <c r="N14" i="7"/>
  <c r="B14" i="7"/>
  <c r="A14" i="7"/>
  <c r="I14" i="7" s="1"/>
  <c r="N13" i="7"/>
  <c r="M13" i="7"/>
  <c r="G13" i="7"/>
  <c r="F13" i="7"/>
  <c r="E13" i="7"/>
  <c r="D13" i="7"/>
  <c r="C13" i="7"/>
  <c r="B13" i="7"/>
  <c r="A13" i="7"/>
  <c r="L13" i="7" s="1"/>
  <c r="N12" i="7"/>
  <c r="H12" i="7"/>
  <c r="G12" i="7"/>
  <c r="F12" i="7"/>
  <c r="E12" i="7"/>
  <c r="A12" i="7"/>
  <c r="M12" i="7" s="1"/>
  <c r="N11" i="7"/>
  <c r="M11" i="7"/>
  <c r="L11" i="7"/>
  <c r="K11" i="7"/>
  <c r="J11" i="7"/>
  <c r="I11" i="7"/>
  <c r="H11" i="7"/>
  <c r="G11" i="7"/>
  <c r="C11" i="7"/>
  <c r="B11" i="7"/>
  <c r="A11" i="7"/>
  <c r="F11" i="7" s="1"/>
  <c r="N10" i="7"/>
  <c r="M10" i="7"/>
  <c r="L10" i="7"/>
  <c r="E10" i="7"/>
  <c r="A10" i="7"/>
  <c r="K10" i="7" s="1"/>
  <c r="N9" i="7"/>
  <c r="M9" i="7"/>
  <c r="I9" i="7"/>
  <c r="H9" i="7"/>
  <c r="F9" i="7"/>
  <c r="E9" i="7"/>
  <c r="D9" i="7"/>
  <c r="C9" i="7"/>
  <c r="B9" i="7"/>
  <c r="A9" i="7"/>
  <c r="L9" i="7" s="1"/>
  <c r="N8" i="7"/>
  <c r="K8" i="7"/>
  <c r="J8" i="7"/>
  <c r="I8" i="7"/>
  <c r="H8" i="7"/>
  <c r="G8" i="7"/>
  <c r="F8" i="7"/>
  <c r="E8" i="7"/>
  <c r="A8" i="7"/>
  <c r="D8" i="7" s="1"/>
  <c r="N7" i="7"/>
  <c r="L7" i="7"/>
  <c r="K7" i="7"/>
  <c r="J7" i="7"/>
  <c r="I7" i="7"/>
  <c r="C7" i="7"/>
  <c r="A7" i="7"/>
  <c r="M7" i="7" s="1"/>
  <c r="N6" i="7"/>
  <c r="M6" i="7"/>
  <c r="D6" i="7"/>
  <c r="C6" i="7"/>
  <c r="B6" i="7"/>
  <c r="A6" i="7"/>
  <c r="K6" i="7" s="1"/>
  <c r="N5" i="7"/>
  <c r="M5" i="7" s="1"/>
  <c r="K5" i="7"/>
  <c r="I5" i="7"/>
  <c r="H5" i="7"/>
  <c r="G5" i="7"/>
  <c r="F5" i="7"/>
  <c r="E5" i="7"/>
  <c r="D5" i="7"/>
  <c r="C5" i="7"/>
  <c r="A5" i="7"/>
  <c r="B5" i="7" s="1"/>
  <c r="D36" i="6"/>
  <c r="C36" i="6"/>
  <c r="E35" i="6"/>
  <c r="D35" i="6"/>
  <c r="C35" i="6"/>
  <c r="H35" i="6" s="1"/>
  <c r="E34" i="6"/>
  <c r="D34" i="6"/>
  <c r="G31" i="6"/>
  <c r="H31" i="6" s="1"/>
  <c r="G30" i="6"/>
  <c r="H30" i="6" s="1"/>
  <c r="H29" i="6"/>
  <c r="G29" i="6"/>
  <c r="G28" i="6"/>
  <c r="H28" i="6" s="1"/>
  <c r="G26" i="6"/>
  <c r="H26" i="6" s="1"/>
  <c r="G25" i="6"/>
  <c r="H25" i="6" s="1"/>
  <c r="G24" i="6"/>
  <c r="H24" i="6" s="1"/>
  <c r="G23" i="6"/>
  <c r="H23" i="6" s="1"/>
  <c r="G22" i="6"/>
  <c r="H22" i="6" s="1"/>
  <c r="G19" i="6"/>
  <c r="H19" i="6" s="1"/>
  <c r="G14" i="6"/>
  <c r="E14" i="6"/>
  <c r="D14" i="6"/>
  <c r="C14" i="6"/>
  <c r="B14" i="6"/>
  <c r="G13" i="6"/>
  <c r="F13" i="6"/>
  <c r="E13" i="6"/>
  <c r="D13" i="6"/>
  <c r="C13" i="6"/>
  <c r="G12" i="6"/>
  <c r="F12" i="6"/>
  <c r="E12" i="6"/>
  <c r="D12" i="6"/>
  <c r="C12" i="6"/>
  <c r="G11" i="6"/>
  <c r="F11" i="6"/>
  <c r="E11" i="6"/>
  <c r="D11" i="6"/>
  <c r="C11" i="6"/>
  <c r="G10" i="6"/>
  <c r="F10" i="6"/>
  <c r="E10" i="6"/>
  <c r="D10" i="6"/>
  <c r="C10" i="6"/>
  <c r="G9" i="6"/>
  <c r="F9" i="6"/>
  <c r="E9" i="6"/>
  <c r="D9" i="6"/>
  <c r="C9" i="6"/>
  <c r="G8" i="6"/>
  <c r="F8" i="6"/>
  <c r="E8" i="6"/>
  <c r="C8" i="6"/>
  <c r="B8" i="6"/>
  <c r="G7" i="6"/>
  <c r="F7" i="6"/>
  <c r="E7" i="6"/>
  <c r="D7" i="6"/>
  <c r="C7" i="6"/>
  <c r="B7" i="6"/>
  <c r="H7" i="6" s="1"/>
  <c r="G6" i="6"/>
  <c r="F6" i="6"/>
  <c r="E6" i="6"/>
  <c r="D6" i="6"/>
  <c r="C6" i="6"/>
  <c r="AO207" i="4"/>
  <c r="M207" i="4"/>
  <c r="I207" i="4"/>
  <c r="AQ205" i="4"/>
  <c r="AP205" i="4"/>
  <c r="AO205" i="4"/>
  <c r="AL205" i="4"/>
  <c r="AI205" i="4"/>
  <c r="AF205" i="4"/>
  <c r="AD205" i="4"/>
  <c r="AB205" i="4"/>
  <c r="Z205" i="4"/>
  <c r="AS205" i="4" s="1"/>
  <c r="Y205" i="4"/>
  <c r="V205" i="4"/>
  <c r="AR205" i="4" s="1"/>
  <c r="U205" i="4"/>
  <c r="R205" i="4"/>
  <c r="Q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AS204" i="4"/>
  <c r="AR204" i="4"/>
  <c r="AQ204" i="4"/>
  <c r="AP204" i="4"/>
  <c r="AO204" i="4"/>
  <c r="AL204" i="4"/>
  <c r="AI204" i="4"/>
  <c r="AF204" i="4"/>
  <c r="AD204" i="4"/>
  <c r="AB204" i="4"/>
  <c r="Z204" i="4"/>
  <c r="Y204" i="4"/>
  <c r="V204" i="4"/>
  <c r="U204" i="4"/>
  <c r="R204" i="4"/>
  <c r="Q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S203" i="4"/>
  <c r="AP203" i="4"/>
  <c r="AO203" i="4"/>
  <c r="AL203" i="4"/>
  <c r="AI203" i="4"/>
  <c r="AF203" i="4"/>
  <c r="AD203" i="4"/>
  <c r="AB203" i="4"/>
  <c r="Z203" i="4"/>
  <c r="Y203" i="4"/>
  <c r="V203" i="4"/>
  <c r="AR203" i="4" s="1"/>
  <c r="U203" i="4"/>
  <c r="R203" i="4"/>
  <c r="AQ203" i="4" s="1"/>
  <c r="Q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AS202" i="4"/>
  <c r="AP202" i="4"/>
  <c r="AO202" i="4"/>
  <c r="AL202" i="4"/>
  <c r="AI202" i="4"/>
  <c r="AF202" i="4"/>
  <c r="AD202" i="4"/>
  <c r="AB202" i="4"/>
  <c r="Z202" i="4"/>
  <c r="Y202" i="4"/>
  <c r="V202" i="4"/>
  <c r="AR202" i="4" s="1"/>
  <c r="U202" i="4"/>
  <c r="R202" i="4"/>
  <c r="AQ202" i="4" s="1"/>
  <c r="Q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Q201" i="4"/>
  <c r="AP201" i="4"/>
  <c r="AO201" i="4"/>
  <c r="AL201" i="4"/>
  <c r="AI201" i="4"/>
  <c r="AF201" i="4"/>
  <c r="AD201" i="4"/>
  <c r="AB201" i="4"/>
  <c r="Z201" i="4"/>
  <c r="AS201" i="4" s="1"/>
  <c r="Y201" i="4"/>
  <c r="V201" i="4"/>
  <c r="AR201" i="4" s="1"/>
  <c r="U201" i="4"/>
  <c r="R201" i="4"/>
  <c r="Q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AS200" i="4"/>
  <c r="AQ200" i="4"/>
  <c r="AP200" i="4"/>
  <c r="AO200" i="4"/>
  <c r="AL200" i="4"/>
  <c r="AI200" i="4"/>
  <c r="AF200" i="4"/>
  <c r="AD200" i="4"/>
  <c r="AB200" i="4"/>
  <c r="Z200" i="4"/>
  <c r="Y200" i="4"/>
  <c r="V200" i="4"/>
  <c r="AR200" i="4" s="1"/>
  <c r="U200" i="4"/>
  <c r="R200" i="4"/>
  <c r="Q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P199" i="4"/>
  <c r="AO199" i="4"/>
  <c r="AL199" i="4"/>
  <c r="AI199" i="4"/>
  <c r="AF199" i="4"/>
  <c r="AD199" i="4"/>
  <c r="AB199" i="4"/>
  <c r="Z199" i="4"/>
  <c r="AS199" i="4" s="1"/>
  <c r="Y199" i="4"/>
  <c r="V199" i="4"/>
  <c r="AR199" i="4" s="1"/>
  <c r="U199" i="4"/>
  <c r="R199" i="4"/>
  <c r="AQ199" i="4" s="1"/>
  <c r="Q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P198" i="4"/>
  <c r="AO198" i="4"/>
  <c r="AL198" i="4"/>
  <c r="AI198" i="4"/>
  <c r="AF198" i="4"/>
  <c r="AD198" i="4"/>
  <c r="AB198" i="4"/>
  <c r="Z198" i="4"/>
  <c r="AS198" i="4" s="1"/>
  <c r="Y198" i="4"/>
  <c r="V198" i="4"/>
  <c r="AR198" i="4" s="1"/>
  <c r="U198" i="4"/>
  <c r="R198" i="4"/>
  <c r="AQ198" i="4" s="1"/>
  <c r="Q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S197" i="4"/>
  <c r="AR197" i="4"/>
  <c r="AP197" i="4"/>
  <c r="AO197" i="4"/>
  <c r="AL197" i="4"/>
  <c r="AI197" i="4"/>
  <c r="AF197" i="4"/>
  <c r="AD197" i="4"/>
  <c r="AB197" i="4"/>
  <c r="Z197" i="4"/>
  <c r="Y197" i="4"/>
  <c r="V197" i="4"/>
  <c r="U197" i="4"/>
  <c r="R197" i="4"/>
  <c r="AQ197" i="4" s="1"/>
  <c r="Q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AS196" i="4"/>
  <c r="AR196" i="4"/>
  <c r="AQ196" i="4"/>
  <c r="AP196" i="4"/>
  <c r="AO196" i="4"/>
  <c r="AL196" i="4"/>
  <c r="AI196" i="4"/>
  <c r="AF196" i="4"/>
  <c r="AD196" i="4"/>
  <c r="AB196" i="4"/>
  <c r="Z196" i="4"/>
  <c r="Y196" i="4"/>
  <c r="V196" i="4"/>
  <c r="U196" i="4"/>
  <c r="R196" i="4"/>
  <c r="Q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R195" i="4"/>
  <c r="AP195" i="4"/>
  <c r="AO195" i="4"/>
  <c r="AL195" i="4"/>
  <c r="AI195" i="4"/>
  <c r="AF195" i="4"/>
  <c r="AD195" i="4"/>
  <c r="AB195" i="4"/>
  <c r="Z195" i="4"/>
  <c r="AS195" i="4" s="1"/>
  <c r="Y195" i="4"/>
  <c r="V195" i="4"/>
  <c r="U195" i="4"/>
  <c r="R195" i="4"/>
  <c r="AQ195" i="4" s="1"/>
  <c r="Q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Q194" i="4"/>
  <c r="AP194" i="4"/>
  <c r="AO194" i="4"/>
  <c r="AL194" i="4"/>
  <c r="AI194" i="4"/>
  <c r="AF194" i="4"/>
  <c r="AD194" i="4"/>
  <c r="AB194" i="4"/>
  <c r="Z194" i="4"/>
  <c r="AS194" i="4" s="1"/>
  <c r="Y194" i="4"/>
  <c r="V194" i="4"/>
  <c r="AR194" i="4" s="1"/>
  <c r="U194" i="4"/>
  <c r="R194" i="4"/>
  <c r="Q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S193" i="4"/>
  <c r="AR193" i="4"/>
  <c r="AQ193" i="4"/>
  <c r="AP193" i="4"/>
  <c r="AO193" i="4"/>
  <c r="AL193" i="4"/>
  <c r="AI193" i="4"/>
  <c r="AF193" i="4"/>
  <c r="AD193" i="4"/>
  <c r="AB193" i="4"/>
  <c r="Z193" i="4"/>
  <c r="Y193" i="4"/>
  <c r="V193" i="4"/>
  <c r="U193" i="4"/>
  <c r="R193" i="4"/>
  <c r="Q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S192" i="4"/>
  <c r="AP192" i="4"/>
  <c r="AO192" i="4"/>
  <c r="AL192" i="4"/>
  <c r="AI192" i="4"/>
  <c r="AF192" i="4"/>
  <c r="AD192" i="4"/>
  <c r="AB192" i="4"/>
  <c r="Z192" i="4"/>
  <c r="Y192" i="4"/>
  <c r="V192" i="4"/>
  <c r="AR192" i="4" s="1"/>
  <c r="U192" i="4"/>
  <c r="R192" i="4"/>
  <c r="AQ192" i="4" s="1"/>
  <c r="Q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S191" i="4"/>
  <c r="AP191" i="4"/>
  <c r="AO191" i="4"/>
  <c r="AL191" i="4"/>
  <c r="AI191" i="4"/>
  <c r="AF191" i="4"/>
  <c r="AD191" i="4"/>
  <c r="AB191" i="4"/>
  <c r="Z191" i="4"/>
  <c r="Y191" i="4"/>
  <c r="V191" i="4"/>
  <c r="AR191" i="4" s="1"/>
  <c r="U191" i="4"/>
  <c r="R191" i="4"/>
  <c r="AQ191" i="4" s="1"/>
  <c r="Q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Q190" i="4"/>
  <c r="AP190" i="4"/>
  <c r="AO190" i="4"/>
  <c r="AL190" i="4"/>
  <c r="AI190" i="4"/>
  <c r="AF190" i="4"/>
  <c r="AD190" i="4"/>
  <c r="AB190" i="4"/>
  <c r="Z190" i="4"/>
  <c r="AS190" i="4" s="1"/>
  <c r="Y190" i="4"/>
  <c r="V190" i="4"/>
  <c r="AR190" i="4" s="1"/>
  <c r="U190" i="4"/>
  <c r="R190" i="4"/>
  <c r="Q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S189" i="4"/>
  <c r="AR189" i="4"/>
  <c r="AQ189" i="4"/>
  <c r="AP189" i="4"/>
  <c r="AO189" i="4"/>
  <c r="AL189" i="4"/>
  <c r="AI189" i="4"/>
  <c r="AF189" i="4"/>
  <c r="AD189" i="4"/>
  <c r="AB189" i="4"/>
  <c r="Z189" i="4"/>
  <c r="Y189" i="4"/>
  <c r="V189" i="4"/>
  <c r="U189" i="4"/>
  <c r="R189" i="4"/>
  <c r="Q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P188" i="4"/>
  <c r="AO188" i="4"/>
  <c r="AL188" i="4"/>
  <c r="AI188" i="4"/>
  <c r="AF188" i="4"/>
  <c r="AD188" i="4"/>
  <c r="AB188" i="4"/>
  <c r="Z188" i="4"/>
  <c r="AS188" i="4" s="1"/>
  <c r="Y188" i="4"/>
  <c r="V188" i="4"/>
  <c r="AR188" i="4" s="1"/>
  <c r="U188" i="4"/>
  <c r="R188" i="4"/>
  <c r="AQ188" i="4" s="1"/>
  <c r="Q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P187" i="4"/>
  <c r="AO187" i="4"/>
  <c r="AL187" i="4"/>
  <c r="AI187" i="4"/>
  <c r="AF187" i="4"/>
  <c r="AD187" i="4"/>
  <c r="AB187" i="4"/>
  <c r="Z187" i="4"/>
  <c r="AS187" i="4" s="1"/>
  <c r="Y187" i="4"/>
  <c r="V187" i="4"/>
  <c r="AR187" i="4" s="1"/>
  <c r="U187" i="4"/>
  <c r="R187" i="4"/>
  <c r="AQ187" i="4" s="1"/>
  <c r="Q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S186" i="4"/>
  <c r="AR186" i="4"/>
  <c r="AP186" i="4"/>
  <c r="AO186" i="4"/>
  <c r="AL186" i="4"/>
  <c r="AI186" i="4"/>
  <c r="AF186" i="4"/>
  <c r="AD186" i="4"/>
  <c r="AB186" i="4"/>
  <c r="Z186" i="4"/>
  <c r="Y186" i="4"/>
  <c r="V186" i="4"/>
  <c r="U186" i="4"/>
  <c r="R186" i="4"/>
  <c r="AQ186" i="4" s="1"/>
  <c r="Q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S185" i="4"/>
  <c r="AR185" i="4"/>
  <c r="AQ185" i="4"/>
  <c r="AP185" i="4"/>
  <c r="AO185" i="4"/>
  <c r="AL185" i="4"/>
  <c r="AI185" i="4"/>
  <c r="AF185" i="4"/>
  <c r="AD185" i="4"/>
  <c r="AB185" i="4"/>
  <c r="Z185" i="4"/>
  <c r="Y185" i="4"/>
  <c r="V185" i="4"/>
  <c r="U185" i="4"/>
  <c r="R185" i="4"/>
  <c r="Q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R184" i="4"/>
  <c r="AP184" i="4"/>
  <c r="AO184" i="4"/>
  <c r="AL184" i="4"/>
  <c r="AI184" i="4"/>
  <c r="AF184" i="4"/>
  <c r="AD184" i="4"/>
  <c r="AB184" i="4"/>
  <c r="Z184" i="4"/>
  <c r="AS184" i="4" s="1"/>
  <c r="Y184" i="4"/>
  <c r="V184" i="4"/>
  <c r="U184" i="4"/>
  <c r="R184" i="4"/>
  <c r="AQ184" i="4" s="1"/>
  <c r="Q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P183" i="4"/>
  <c r="AO183" i="4"/>
  <c r="AL183" i="4"/>
  <c r="AI183" i="4"/>
  <c r="AF183" i="4"/>
  <c r="AD183" i="4"/>
  <c r="AB183" i="4"/>
  <c r="Z183" i="4"/>
  <c r="AS183" i="4" s="1"/>
  <c r="Y183" i="4"/>
  <c r="V183" i="4"/>
  <c r="AR183" i="4" s="1"/>
  <c r="U183" i="4"/>
  <c r="R183" i="4"/>
  <c r="AQ183" i="4" s="1"/>
  <c r="Q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S182" i="4"/>
  <c r="AR182" i="4"/>
  <c r="AQ182" i="4"/>
  <c r="AP182" i="4"/>
  <c r="AO182" i="4"/>
  <c r="AL182" i="4"/>
  <c r="AI182" i="4"/>
  <c r="AF182" i="4"/>
  <c r="AD182" i="4"/>
  <c r="AB182" i="4"/>
  <c r="Z182" i="4"/>
  <c r="Y182" i="4"/>
  <c r="V182" i="4"/>
  <c r="U182" i="4"/>
  <c r="R182" i="4"/>
  <c r="Q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S181" i="4"/>
  <c r="AP181" i="4"/>
  <c r="AO181" i="4"/>
  <c r="AL181" i="4"/>
  <c r="AI181" i="4"/>
  <c r="AF181" i="4"/>
  <c r="AD181" i="4"/>
  <c r="AB181" i="4"/>
  <c r="Z181" i="4"/>
  <c r="Y181" i="4"/>
  <c r="V181" i="4"/>
  <c r="AR181" i="4" s="1"/>
  <c r="U181" i="4"/>
  <c r="R181" i="4"/>
  <c r="AQ181" i="4" s="1"/>
  <c r="Q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S180" i="4"/>
  <c r="AP180" i="4"/>
  <c r="AO180" i="4"/>
  <c r="AL180" i="4"/>
  <c r="AI180" i="4"/>
  <c r="AF180" i="4"/>
  <c r="AD180" i="4"/>
  <c r="AB180" i="4"/>
  <c r="Z180" i="4"/>
  <c r="Y180" i="4"/>
  <c r="V180" i="4"/>
  <c r="AR180" i="4" s="1"/>
  <c r="U180" i="4"/>
  <c r="R180" i="4"/>
  <c r="AQ180" i="4" s="1"/>
  <c r="Q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Q179" i="4"/>
  <c r="AP179" i="4"/>
  <c r="AO179" i="4"/>
  <c r="AL179" i="4"/>
  <c r="AI179" i="4"/>
  <c r="AF179" i="4"/>
  <c r="AD179" i="4"/>
  <c r="AB179" i="4"/>
  <c r="Z179" i="4"/>
  <c r="AS179" i="4" s="1"/>
  <c r="Y179" i="4"/>
  <c r="V179" i="4"/>
  <c r="AR179" i="4" s="1"/>
  <c r="U179" i="4"/>
  <c r="R179" i="4"/>
  <c r="Q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S178" i="4"/>
  <c r="AR178" i="4"/>
  <c r="AQ178" i="4"/>
  <c r="AP178" i="4"/>
  <c r="AO178" i="4"/>
  <c r="AL178" i="4"/>
  <c r="AI178" i="4"/>
  <c r="AF178" i="4"/>
  <c r="AD178" i="4"/>
  <c r="AB178" i="4"/>
  <c r="Z178" i="4"/>
  <c r="Y178" i="4"/>
  <c r="V178" i="4"/>
  <c r="U178" i="4"/>
  <c r="R178" i="4"/>
  <c r="Q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P177" i="4"/>
  <c r="AO177" i="4"/>
  <c r="AL177" i="4"/>
  <c r="AI177" i="4"/>
  <c r="AF177" i="4"/>
  <c r="AD177" i="4"/>
  <c r="AB177" i="4"/>
  <c r="Z177" i="4"/>
  <c r="AS177" i="4" s="1"/>
  <c r="Y177" i="4"/>
  <c r="V177" i="4"/>
  <c r="AR177" i="4" s="1"/>
  <c r="U177" i="4"/>
  <c r="R177" i="4"/>
  <c r="AQ177" i="4" s="1"/>
  <c r="Q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P176" i="4"/>
  <c r="AO176" i="4"/>
  <c r="AL176" i="4"/>
  <c r="AI176" i="4"/>
  <c r="AF176" i="4"/>
  <c r="AD176" i="4"/>
  <c r="AB176" i="4"/>
  <c r="Z176" i="4"/>
  <c r="AS176" i="4" s="1"/>
  <c r="Y176" i="4"/>
  <c r="V176" i="4"/>
  <c r="AR176" i="4" s="1"/>
  <c r="U176" i="4"/>
  <c r="R176" i="4"/>
  <c r="AQ176" i="4" s="1"/>
  <c r="Q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S175" i="4"/>
  <c r="AR175" i="4"/>
  <c r="AP175" i="4"/>
  <c r="AO175" i="4"/>
  <c r="AL175" i="4"/>
  <c r="AI175" i="4"/>
  <c r="AF175" i="4"/>
  <c r="AD175" i="4"/>
  <c r="AB175" i="4"/>
  <c r="Z175" i="4"/>
  <c r="Y175" i="4"/>
  <c r="V175" i="4"/>
  <c r="U175" i="4"/>
  <c r="R175" i="4"/>
  <c r="AQ175" i="4" s="1"/>
  <c r="Q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S174" i="4"/>
  <c r="AR174" i="4"/>
  <c r="AQ174" i="4"/>
  <c r="AP174" i="4"/>
  <c r="AO174" i="4"/>
  <c r="AL174" i="4"/>
  <c r="AI174" i="4"/>
  <c r="AF174" i="4"/>
  <c r="AD174" i="4"/>
  <c r="AB174" i="4"/>
  <c r="Z174" i="4"/>
  <c r="Y174" i="4"/>
  <c r="V174" i="4"/>
  <c r="U174" i="4"/>
  <c r="R174" i="4"/>
  <c r="Q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R173" i="4"/>
  <c r="AP173" i="4"/>
  <c r="AO173" i="4"/>
  <c r="AL173" i="4"/>
  <c r="AI173" i="4"/>
  <c r="AF173" i="4"/>
  <c r="AD173" i="4"/>
  <c r="AB173" i="4"/>
  <c r="Z173" i="4"/>
  <c r="AS173" i="4" s="1"/>
  <c r="Y173" i="4"/>
  <c r="V173" i="4"/>
  <c r="U173" i="4"/>
  <c r="R173" i="4"/>
  <c r="AQ173" i="4" s="1"/>
  <c r="Q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P172" i="4"/>
  <c r="AO172" i="4"/>
  <c r="AL172" i="4"/>
  <c r="AI172" i="4"/>
  <c r="AF172" i="4"/>
  <c r="AD172" i="4"/>
  <c r="AB172" i="4"/>
  <c r="Z172" i="4"/>
  <c r="AS172" i="4" s="1"/>
  <c r="Y172" i="4"/>
  <c r="V172" i="4"/>
  <c r="AR172" i="4" s="1"/>
  <c r="U172" i="4"/>
  <c r="R172" i="4"/>
  <c r="AQ172" i="4" s="1"/>
  <c r="Q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S171" i="4"/>
  <c r="AR171" i="4"/>
  <c r="AQ171" i="4"/>
  <c r="AP171" i="4"/>
  <c r="AO171" i="4"/>
  <c r="AL171" i="4"/>
  <c r="AI171" i="4"/>
  <c r="AF171" i="4"/>
  <c r="AD171" i="4"/>
  <c r="AB171" i="4"/>
  <c r="Z171" i="4"/>
  <c r="Y171" i="4"/>
  <c r="V171" i="4"/>
  <c r="U171" i="4"/>
  <c r="R171" i="4"/>
  <c r="Q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S170" i="4"/>
  <c r="AP170" i="4"/>
  <c r="AO170" i="4"/>
  <c r="AL170" i="4"/>
  <c r="AI170" i="4"/>
  <c r="AF170" i="4"/>
  <c r="AD170" i="4"/>
  <c r="AB170" i="4"/>
  <c r="Z170" i="4"/>
  <c r="Y170" i="4"/>
  <c r="V170" i="4"/>
  <c r="AR170" i="4" s="1"/>
  <c r="U170" i="4"/>
  <c r="R170" i="4"/>
  <c r="AQ170" i="4" s="1"/>
  <c r="Q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S169" i="4"/>
  <c r="AP169" i="4"/>
  <c r="AO169" i="4"/>
  <c r="AL169" i="4"/>
  <c r="AI169" i="4"/>
  <c r="AF169" i="4"/>
  <c r="AD169" i="4"/>
  <c r="AB169" i="4"/>
  <c r="Z169" i="4"/>
  <c r="Y169" i="4"/>
  <c r="V169" i="4"/>
  <c r="AR169" i="4" s="1"/>
  <c r="U169" i="4"/>
  <c r="R169" i="4"/>
  <c r="AQ169" i="4" s="1"/>
  <c r="Q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Q168" i="4"/>
  <c r="AP168" i="4"/>
  <c r="AO168" i="4"/>
  <c r="AL168" i="4"/>
  <c r="AI168" i="4"/>
  <c r="AF168" i="4"/>
  <c r="AD168" i="4"/>
  <c r="AB168" i="4"/>
  <c r="Z168" i="4"/>
  <c r="AS168" i="4" s="1"/>
  <c r="Y168" i="4"/>
  <c r="V168" i="4"/>
  <c r="AR168" i="4" s="1"/>
  <c r="U168" i="4"/>
  <c r="R168" i="4"/>
  <c r="Q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S167" i="4"/>
  <c r="AR167" i="4"/>
  <c r="AQ167" i="4"/>
  <c r="AP167" i="4"/>
  <c r="AO167" i="4"/>
  <c r="AL167" i="4"/>
  <c r="AI167" i="4"/>
  <c r="AF167" i="4"/>
  <c r="AD167" i="4"/>
  <c r="AB167" i="4"/>
  <c r="Z167" i="4"/>
  <c r="Y167" i="4"/>
  <c r="V167" i="4"/>
  <c r="U167" i="4"/>
  <c r="R167" i="4"/>
  <c r="Q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P166" i="4"/>
  <c r="AO166" i="4"/>
  <c r="AL166" i="4"/>
  <c r="AI166" i="4"/>
  <c r="AF166" i="4"/>
  <c r="AD166" i="4"/>
  <c r="AB166" i="4"/>
  <c r="Z166" i="4"/>
  <c r="AS166" i="4" s="1"/>
  <c r="Y166" i="4"/>
  <c r="V166" i="4"/>
  <c r="AR166" i="4" s="1"/>
  <c r="U166" i="4"/>
  <c r="R166" i="4"/>
  <c r="AQ166" i="4" s="1"/>
  <c r="Q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P165" i="4"/>
  <c r="AO165" i="4"/>
  <c r="AL165" i="4"/>
  <c r="AI165" i="4"/>
  <c r="AF165" i="4"/>
  <c r="AD165" i="4"/>
  <c r="AB165" i="4"/>
  <c r="Z165" i="4"/>
  <c r="AS165" i="4" s="1"/>
  <c r="Y165" i="4"/>
  <c r="V165" i="4"/>
  <c r="AR165" i="4" s="1"/>
  <c r="U165" i="4"/>
  <c r="R165" i="4"/>
  <c r="AQ165" i="4" s="1"/>
  <c r="Q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AS164" i="4"/>
  <c r="AR164" i="4"/>
  <c r="AP164" i="4"/>
  <c r="AO164" i="4"/>
  <c r="AL164" i="4"/>
  <c r="AI164" i="4"/>
  <c r="AF164" i="4"/>
  <c r="AD164" i="4"/>
  <c r="AB164" i="4"/>
  <c r="Z164" i="4"/>
  <c r="Y164" i="4"/>
  <c r="V164" i="4"/>
  <c r="U164" i="4"/>
  <c r="R164" i="4"/>
  <c r="AQ164" i="4" s="1"/>
  <c r="Q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S163" i="4"/>
  <c r="AR163" i="4"/>
  <c r="AQ163" i="4"/>
  <c r="AP163" i="4"/>
  <c r="AO163" i="4"/>
  <c r="AL163" i="4"/>
  <c r="AI163" i="4"/>
  <c r="AF163" i="4"/>
  <c r="AD163" i="4"/>
  <c r="AB163" i="4"/>
  <c r="Z163" i="4"/>
  <c r="Y163" i="4"/>
  <c r="V163" i="4"/>
  <c r="U163" i="4"/>
  <c r="R163" i="4"/>
  <c r="Q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R162" i="4"/>
  <c r="AP162" i="4"/>
  <c r="AO162" i="4"/>
  <c r="AL162" i="4"/>
  <c r="AI162" i="4"/>
  <c r="AF162" i="4"/>
  <c r="AD162" i="4"/>
  <c r="AB162" i="4"/>
  <c r="Z162" i="4"/>
  <c r="AS162" i="4" s="1"/>
  <c r="Y162" i="4"/>
  <c r="V162" i="4"/>
  <c r="U162" i="4"/>
  <c r="R162" i="4"/>
  <c r="AQ162" i="4" s="1"/>
  <c r="Q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Q161" i="4"/>
  <c r="AP161" i="4"/>
  <c r="AO161" i="4"/>
  <c r="AL161" i="4"/>
  <c r="AI161" i="4"/>
  <c r="AF161" i="4"/>
  <c r="AD161" i="4"/>
  <c r="AB161" i="4"/>
  <c r="Z161" i="4"/>
  <c r="AS161" i="4" s="1"/>
  <c r="Y161" i="4"/>
  <c r="V161" i="4"/>
  <c r="AR161" i="4" s="1"/>
  <c r="U161" i="4"/>
  <c r="R161" i="4"/>
  <c r="Q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S160" i="4"/>
  <c r="AR160" i="4"/>
  <c r="AQ160" i="4"/>
  <c r="AP160" i="4"/>
  <c r="AO160" i="4"/>
  <c r="AL160" i="4"/>
  <c r="AI160" i="4"/>
  <c r="AF160" i="4"/>
  <c r="AD160" i="4"/>
  <c r="AB160" i="4"/>
  <c r="Z160" i="4"/>
  <c r="Y160" i="4"/>
  <c r="V160" i="4"/>
  <c r="U160" i="4"/>
  <c r="R160" i="4"/>
  <c r="Q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S159" i="4"/>
  <c r="AP159" i="4"/>
  <c r="AO159" i="4"/>
  <c r="AL159" i="4"/>
  <c r="AI159" i="4"/>
  <c r="AF159" i="4"/>
  <c r="AD159" i="4"/>
  <c r="AB159" i="4"/>
  <c r="Z159" i="4"/>
  <c r="Y159" i="4"/>
  <c r="V159" i="4"/>
  <c r="AR159" i="4" s="1"/>
  <c r="U159" i="4"/>
  <c r="R159" i="4"/>
  <c r="AQ159" i="4" s="1"/>
  <c r="Q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S158" i="4"/>
  <c r="AP158" i="4"/>
  <c r="AO158" i="4"/>
  <c r="AL158" i="4"/>
  <c r="AI158" i="4"/>
  <c r="AF158" i="4"/>
  <c r="AD158" i="4"/>
  <c r="AB158" i="4"/>
  <c r="Z158" i="4"/>
  <c r="Y158" i="4"/>
  <c r="V158" i="4"/>
  <c r="AR158" i="4" s="1"/>
  <c r="U158" i="4"/>
  <c r="R158" i="4"/>
  <c r="AQ158" i="4" s="1"/>
  <c r="Q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Q157" i="4"/>
  <c r="AP157" i="4"/>
  <c r="AO157" i="4"/>
  <c r="AL157" i="4"/>
  <c r="AI157" i="4"/>
  <c r="AF157" i="4"/>
  <c r="AD157" i="4"/>
  <c r="AB157" i="4"/>
  <c r="Z157" i="4"/>
  <c r="AS157" i="4" s="1"/>
  <c r="Y157" i="4"/>
  <c r="V157" i="4"/>
  <c r="AR157" i="4" s="1"/>
  <c r="U157" i="4"/>
  <c r="R157" i="4"/>
  <c r="Q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S156" i="4"/>
  <c r="AR156" i="4"/>
  <c r="AQ156" i="4"/>
  <c r="AP156" i="4"/>
  <c r="AO156" i="4"/>
  <c r="AL156" i="4"/>
  <c r="AI156" i="4"/>
  <c r="AF156" i="4"/>
  <c r="AD156" i="4"/>
  <c r="AB156" i="4"/>
  <c r="Z156" i="4"/>
  <c r="Y156" i="4"/>
  <c r="V156" i="4"/>
  <c r="U156" i="4"/>
  <c r="R156" i="4"/>
  <c r="Q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P155" i="4"/>
  <c r="AO155" i="4"/>
  <c r="AL155" i="4"/>
  <c r="AI155" i="4"/>
  <c r="AF155" i="4"/>
  <c r="AD155" i="4"/>
  <c r="AB155" i="4"/>
  <c r="Z155" i="4"/>
  <c r="AS155" i="4" s="1"/>
  <c r="Y155" i="4"/>
  <c r="V155" i="4"/>
  <c r="AR155" i="4" s="1"/>
  <c r="U155" i="4"/>
  <c r="R155" i="4"/>
  <c r="AQ155" i="4" s="1"/>
  <c r="Q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P154" i="4"/>
  <c r="AO154" i="4"/>
  <c r="AL154" i="4"/>
  <c r="AI154" i="4"/>
  <c r="AF154" i="4"/>
  <c r="AD154" i="4"/>
  <c r="AB154" i="4"/>
  <c r="Z154" i="4"/>
  <c r="AS154" i="4" s="1"/>
  <c r="Y154" i="4"/>
  <c r="V154" i="4"/>
  <c r="AR154" i="4" s="1"/>
  <c r="U154" i="4"/>
  <c r="R154" i="4"/>
  <c r="AQ154" i="4" s="1"/>
  <c r="Q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S11" i="4"/>
  <c r="AR11" i="4"/>
  <c r="AP11" i="4"/>
  <c r="AO11" i="4"/>
  <c r="AL11" i="4"/>
  <c r="AI11" i="4"/>
  <c r="F14" i="6" s="1"/>
  <c r="AF11" i="4"/>
  <c r="AD11" i="4"/>
  <c r="AB11" i="4"/>
  <c r="Z11" i="4"/>
  <c r="Y11" i="4"/>
  <c r="V11" i="4"/>
  <c r="U11" i="4"/>
  <c r="Q11" i="4"/>
  <c r="M11" i="4"/>
  <c r="R11" i="4" s="1"/>
  <c r="AQ11" i="4" s="1"/>
  <c r="B6" i="6" s="1"/>
  <c r="L11" i="4"/>
  <c r="K11" i="4"/>
  <c r="J11" i="4"/>
  <c r="I11" i="4"/>
  <c r="H11" i="4"/>
  <c r="G11" i="4"/>
  <c r="F11" i="4"/>
  <c r="E11" i="4"/>
  <c r="D11" i="4"/>
  <c r="C11" i="4"/>
  <c r="B11" i="4"/>
  <c r="AS10" i="4"/>
  <c r="AP10" i="4"/>
  <c r="AO10" i="4"/>
  <c r="AL10" i="4"/>
  <c r="AI10" i="4"/>
  <c r="AB10" i="4"/>
  <c r="Z10" i="4"/>
  <c r="Y10" i="4"/>
  <c r="U10" i="4"/>
  <c r="Q10" i="4"/>
  <c r="M10" i="4"/>
  <c r="AD10" i="4" s="1"/>
  <c r="K10" i="4"/>
  <c r="J10" i="4"/>
  <c r="I10" i="4"/>
  <c r="H10" i="4"/>
  <c r="G10" i="4"/>
  <c r="F10" i="4"/>
  <c r="L10" i="4" s="1"/>
  <c r="E10" i="4"/>
  <c r="D10" i="4"/>
  <c r="C10" i="4"/>
  <c r="B10" i="4"/>
  <c r="AR9" i="4"/>
  <c r="AP9" i="4"/>
  <c r="AO9" i="4"/>
  <c r="AL9" i="4"/>
  <c r="AI9" i="4"/>
  <c r="Z9" i="4"/>
  <c r="AS9" i="4" s="1"/>
  <c r="Y9" i="4"/>
  <c r="V9" i="4"/>
  <c r="U9" i="4"/>
  <c r="Q9" i="4"/>
  <c r="M9" i="4"/>
  <c r="AF9" i="4" s="1"/>
  <c r="L9" i="4"/>
  <c r="K9" i="4"/>
  <c r="J9" i="4"/>
  <c r="I9" i="4"/>
  <c r="H9" i="4"/>
  <c r="G9" i="4"/>
  <c r="F9" i="4"/>
  <c r="E9" i="4"/>
  <c r="D9" i="4"/>
  <c r="C9" i="4"/>
  <c r="B9" i="4"/>
  <c r="AP8" i="4"/>
  <c r="AO8" i="4"/>
  <c r="AL8" i="4"/>
  <c r="AI8" i="4"/>
  <c r="AF8" i="4"/>
  <c r="AD8" i="4"/>
  <c r="AB8" i="4"/>
  <c r="Z8" i="4"/>
  <c r="AS8" i="4" s="1"/>
  <c r="AS207" i="4" s="1"/>
  <c r="Y8" i="4"/>
  <c r="V8" i="4"/>
  <c r="AR8" i="4" s="1"/>
  <c r="U8" i="4"/>
  <c r="R8" i="4"/>
  <c r="AQ8" i="4" s="1"/>
  <c r="B13" i="6" s="1"/>
  <c r="H13" i="6" s="1"/>
  <c r="Q8" i="4"/>
  <c r="M8" i="4"/>
  <c r="L8" i="4"/>
  <c r="K8" i="4"/>
  <c r="J8" i="4"/>
  <c r="I8" i="4"/>
  <c r="H8" i="4"/>
  <c r="G8" i="4"/>
  <c r="F8" i="4"/>
  <c r="E8" i="4"/>
  <c r="D8" i="4"/>
  <c r="C8" i="4"/>
  <c r="B8" i="4"/>
  <c r="AS7" i="4"/>
  <c r="AR7" i="4"/>
  <c r="AP7" i="4"/>
  <c r="AO7" i="4"/>
  <c r="AL7" i="4"/>
  <c r="AL207" i="4" s="1"/>
  <c r="AI7" i="4"/>
  <c r="AI207" i="4" s="1"/>
  <c r="AD7" i="4"/>
  <c r="AB7" i="4"/>
  <c r="Z7" i="4"/>
  <c r="Y7" i="4"/>
  <c r="V7" i="4"/>
  <c r="U7" i="4"/>
  <c r="Q7" i="4"/>
  <c r="R7" i="4" s="1"/>
  <c r="M7" i="4"/>
  <c r="AF7" i="4" s="1"/>
  <c r="K7" i="4"/>
  <c r="J7" i="4"/>
  <c r="I7" i="4"/>
  <c r="H7" i="4"/>
  <c r="G7" i="4"/>
  <c r="F7" i="4"/>
  <c r="L7" i="4" s="1"/>
  <c r="E7" i="4"/>
  <c r="D7" i="4"/>
  <c r="C7" i="4"/>
  <c r="B7" i="4"/>
  <c r="A3" i="4"/>
  <c r="C10" i="2"/>
  <c r="C9" i="2"/>
  <c r="C8" i="2"/>
  <c r="C7" i="2"/>
  <c r="E2" i="7" s="1"/>
  <c r="W205" i="5"/>
  <c r="V205" i="5"/>
  <c r="S205" i="5"/>
  <c r="P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W204" i="5"/>
  <c r="V204" i="5"/>
  <c r="S204" i="5"/>
  <c r="P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W203" i="5"/>
  <c r="V203" i="5"/>
  <c r="S203" i="5"/>
  <c r="P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W202" i="5"/>
  <c r="V202" i="5"/>
  <c r="S202" i="5"/>
  <c r="P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W201" i="5"/>
  <c r="V201" i="5"/>
  <c r="S201" i="5"/>
  <c r="P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W200" i="5"/>
  <c r="V200" i="5"/>
  <c r="S200" i="5"/>
  <c r="P200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W199" i="5"/>
  <c r="V199" i="5"/>
  <c r="S199" i="5"/>
  <c r="P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W198" i="5"/>
  <c r="V198" i="5"/>
  <c r="S198" i="5"/>
  <c r="P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W197" i="5"/>
  <c r="V197" i="5"/>
  <c r="S197" i="5"/>
  <c r="P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W196" i="5"/>
  <c r="V196" i="5"/>
  <c r="S196" i="5"/>
  <c r="P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W195" i="5"/>
  <c r="V195" i="5"/>
  <c r="S195" i="5"/>
  <c r="P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W194" i="5"/>
  <c r="V194" i="5"/>
  <c r="S194" i="5"/>
  <c r="P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W193" i="5"/>
  <c r="V193" i="5"/>
  <c r="S193" i="5"/>
  <c r="P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W192" i="5"/>
  <c r="V192" i="5"/>
  <c r="S192" i="5"/>
  <c r="P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W191" i="5"/>
  <c r="V191" i="5"/>
  <c r="S191" i="5"/>
  <c r="P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W190" i="5"/>
  <c r="V190" i="5"/>
  <c r="S190" i="5"/>
  <c r="P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W189" i="5"/>
  <c r="V189" i="5"/>
  <c r="S189" i="5"/>
  <c r="P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W188" i="5"/>
  <c r="V188" i="5"/>
  <c r="S188" i="5"/>
  <c r="P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W187" i="5"/>
  <c r="V187" i="5"/>
  <c r="S187" i="5"/>
  <c r="P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W186" i="5"/>
  <c r="V186" i="5"/>
  <c r="S186" i="5"/>
  <c r="P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W185" i="5"/>
  <c r="V185" i="5"/>
  <c r="S185" i="5"/>
  <c r="P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W184" i="5"/>
  <c r="V184" i="5"/>
  <c r="S184" i="5"/>
  <c r="P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W183" i="5"/>
  <c r="V183" i="5"/>
  <c r="S183" i="5"/>
  <c r="P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W182" i="5"/>
  <c r="V182" i="5"/>
  <c r="S182" i="5"/>
  <c r="P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W181" i="5"/>
  <c r="V181" i="5"/>
  <c r="S181" i="5"/>
  <c r="P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W180" i="5"/>
  <c r="V180" i="5"/>
  <c r="S180" i="5"/>
  <c r="P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W179" i="5"/>
  <c r="V179" i="5"/>
  <c r="S179" i="5"/>
  <c r="P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W178" i="5"/>
  <c r="V178" i="5"/>
  <c r="S178" i="5"/>
  <c r="P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W177" i="5"/>
  <c r="V177" i="5"/>
  <c r="S177" i="5"/>
  <c r="P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W176" i="5"/>
  <c r="V176" i="5"/>
  <c r="S176" i="5"/>
  <c r="P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W175" i="5"/>
  <c r="V175" i="5"/>
  <c r="S175" i="5"/>
  <c r="P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W174" i="5"/>
  <c r="V174" i="5"/>
  <c r="S174" i="5"/>
  <c r="P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W173" i="5"/>
  <c r="V173" i="5"/>
  <c r="S173" i="5"/>
  <c r="P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W172" i="5"/>
  <c r="V172" i="5"/>
  <c r="S172" i="5"/>
  <c r="P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W171" i="5"/>
  <c r="V171" i="5"/>
  <c r="S171" i="5"/>
  <c r="P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W170" i="5"/>
  <c r="V170" i="5"/>
  <c r="S170" i="5"/>
  <c r="P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W169" i="5"/>
  <c r="V169" i="5"/>
  <c r="S169" i="5"/>
  <c r="P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W168" i="5"/>
  <c r="V168" i="5"/>
  <c r="S168" i="5"/>
  <c r="P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W167" i="5"/>
  <c r="V167" i="5"/>
  <c r="S167" i="5"/>
  <c r="P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W166" i="5"/>
  <c r="V166" i="5"/>
  <c r="S166" i="5"/>
  <c r="P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W165" i="5"/>
  <c r="V165" i="5"/>
  <c r="S165" i="5"/>
  <c r="P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W164" i="5"/>
  <c r="V164" i="5"/>
  <c r="S164" i="5"/>
  <c r="P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W163" i="5"/>
  <c r="V163" i="5"/>
  <c r="S163" i="5"/>
  <c r="P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W162" i="5"/>
  <c r="V162" i="5"/>
  <c r="S162" i="5"/>
  <c r="P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W161" i="5"/>
  <c r="V161" i="5"/>
  <c r="S161" i="5"/>
  <c r="P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W160" i="5"/>
  <c r="V160" i="5"/>
  <c r="S160" i="5"/>
  <c r="P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W159" i="5"/>
  <c r="V159" i="5"/>
  <c r="S159" i="5"/>
  <c r="P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W158" i="5"/>
  <c r="V158" i="5"/>
  <c r="S158" i="5"/>
  <c r="P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W157" i="5"/>
  <c r="V157" i="5"/>
  <c r="S157" i="5"/>
  <c r="P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W156" i="5"/>
  <c r="V156" i="5"/>
  <c r="S156" i="5"/>
  <c r="P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W155" i="5"/>
  <c r="V155" i="5"/>
  <c r="S155" i="5"/>
  <c r="P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W154" i="5"/>
  <c r="V154" i="5"/>
  <c r="S154" i="5"/>
  <c r="P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W11" i="5"/>
  <c r="V11" i="5"/>
  <c r="S11" i="5"/>
  <c r="M11" i="5"/>
  <c r="P11" i="5" s="1"/>
  <c r="G20" i="6" s="1"/>
  <c r="H20" i="6" s="1"/>
  <c r="K11" i="5"/>
  <c r="J11" i="5"/>
  <c r="I11" i="5"/>
  <c r="H11" i="5"/>
  <c r="G11" i="5"/>
  <c r="F11" i="5"/>
  <c r="L11" i="5" s="1"/>
  <c r="E11" i="5"/>
  <c r="D11" i="5"/>
  <c r="C11" i="5"/>
  <c r="B11" i="5"/>
  <c r="W10" i="5"/>
  <c r="V10" i="5"/>
  <c r="M10" i="5"/>
  <c r="S10" i="5" s="1"/>
  <c r="G21" i="6" s="1"/>
  <c r="H21" i="6" s="1"/>
  <c r="L10" i="5"/>
  <c r="K10" i="5"/>
  <c r="J10" i="5"/>
  <c r="I10" i="5"/>
  <c r="H10" i="5"/>
  <c r="G10" i="5"/>
  <c r="F10" i="5"/>
  <c r="E10" i="5"/>
  <c r="D10" i="5"/>
  <c r="C10" i="5"/>
  <c r="B10" i="5"/>
  <c r="W9" i="5"/>
  <c r="V9" i="5"/>
  <c r="S9" i="5"/>
  <c r="M9" i="5"/>
  <c r="P9" i="5" s="1"/>
  <c r="K9" i="5"/>
  <c r="J9" i="5"/>
  <c r="I9" i="5"/>
  <c r="H9" i="5"/>
  <c r="G9" i="5"/>
  <c r="F9" i="5"/>
  <c r="L9" i="5" s="1"/>
  <c r="E9" i="5"/>
  <c r="D9" i="5"/>
  <c r="C9" i="5"/>
  <c r="B9" i="5"/>
  <c r="W8" i="5"/>
  <c r="V8" i="5"/>
  <c r="S8" i="5"/>
  <c r="P8" i="5"/>
  <c r="M8" i="5"/>
  <c r="K8" i="5"/>
  <c r="J8" i="5"/>
  <c r="L8" i="5" s="1"/>
  <c r="I8" i="5"/>
  <c r="I207" i="5" s="1"/>
  <c r="H8" i="5"/>
  <c r="G8" i="5"/>
  <c r="F8" i="5"/>
  <c r="E8" i="5"/>
  <c r="D8" i="5"/>
  <c r="C8" i="5"/>
  <c r="B8" i="5"/>
  <c r="W7" i="5"/>
  <c r="V7" i="5"/>
  <c r="V207" i="5" s="1"/>
  <c r="S7" i="5"/>
  <c r="M7" i="5"/>
  <c r="P7" i="5" s="1"/>
  <c r="K7" i="5"/>
  <c r="J7" i="5"/>
  <c r="I7" i="5"/>
  <c r="H7" i="5"/>
  <c r="G7" i="5"/>
  <c r="F7" i="5"/>
  <c r="L7" i="5" s="1"/>
  <c r="E7" i="5"/>
  <c r="D7" i="5"/>
  <c r="C7" i="5"/>
  <c r="B7" i="5"/>
  <c r="A3" i="5"/>
  <c r="S207" i="5" l="1"/>
  <c r="AQ7" i="4"/>
  <c r="P207" i="5"/>
  <c r="G18" i="6"/>
  <c r="H18" i="6" s="1"/>
  <c r="H32" i="6" s="1"/>
  <c r="I32" i="6" s="1"/>
  <c r="H6" i="6"/>
  <c r="F38" i="6"/>
  <c r="H14" i="6"/>
  <c r="AB207" i="4"/>
  <c r="Z207" i="4"/>
  <c r="L6" i="7"/>
  <c r="J14" i="7"/>
  <c r="L17" i="7"/>
  <c r="J25" i="7"/>
  <c r="H33" i="7"/>
  <c r="B35" i="7"/>
  <c r="J36" i="7"/>
  <c r="D38" i="7"/>
  <c r="L39" i="7"/>
  <c r="AF10" i="4"/>
  <c r="E36" i="6" s="1"/>
  <c r="C11" i="2"/>
  <c r="K14" i="7"/>
  <c r="K25" i="7"/>
  <c r="I33" i="7"/>
  <c r="C35" i="7"/>
  <c r="K36" i="7"/>
  <c r="E38" i="7"/>
  <c r="M39" i="7"/>
  <c r="A2" i="5"/>
  <c r="AD207" i="4"/>
  <c r="B10" i="7"/>
  <c r="M42" i="7" s="1"/>
  <c r="L14" i="7"/>
  <c r="B21" i="7"/>
  <c r="L25" i="7"/>
  <c r="B32" i="7"/>
  <c r="D35" i="7"/>
  <c r="L36" i="7"/>
  <c r="C10" i="7"/>
  <c r="M14" i="7"/>
  <c r="C21" i="7"/>
  <c r="M25" i="7"/>
  <c r="C32" i="7"/>
  <c r="M36" i="7"/>
  <c r="A2" i="4"/>
  <c r="B7" i="7"/>
  <c r="D10" i="7"/>
  <c r="B18" i="7"/>
  <c r="D21" i="7"/>
  <c r="B29" i="7"/>
  <c r="D32" i="7"/>
  <c r="H38" i="7"/>
  <c r="B40" i="7"/>
  <c r="I38" i="7"/>
  <c r="C40" i="7"/>
  <c r="J5" i="7"/>
  <c r="D7" i="7"/>
  <c r="L8" i="7"/>
  <c r="F10" i="7"/>
  <c r="H13" i="7"/>
  <c r="B15" i="7"/>
  <c r="D18" i="7"/>
  <c r="L19" i="7"/>
  <c r="F21" i="7"/>
  <c r="H24" i="7"/>
  <c r="B26" i="7"/>
  <c r="D29" i="7"/>
  <c r="F32" i="7"/>
  <c r="H35" i="7"/>
  <c r="B37" i="7"/>
  <c r="J38" i="7"/>
  <c r="D40" i="7"/>
  <c r="E7" i="7"/>
  <c r="M8" i="7"/>
  <c r="G10" i="7"/>
  <c r="I13" i="7"/>
  <c r="C15" i="7"/>
  <c r="E18" i="7"/>
  <c r="M19" i="7"/>
  <c r="G21" i="7"/>
  <c r="I24" i="7"/>
  <c r="C26" i="7"/>
  <c r="E29" i="7"/>
  <c r="M30" i="7"/>
  <c r="G32" i="7"/>
  <c r="I35" i="7"/>
  <c r="C37" i="7"/>
  <c r="K38" i="7"/>
  <c r="E40" i="7"/>
  <c r="L5" i="7"/>
  <c r="F7" i="7"/>
  <c r="H10" i="7"/>
  <c r="B12" i="7"/>
  <c r="J13" i="7"/>
  <c r="D15" i="7"/>
  <c r="F18" i="7"/>
  <c r="H21" i="7"/>
  <c r="B23" i="7"/>
  <c r="J24" i="7"/>
  <c r="D26" i="7"/>
  <c r="F29" i="7"/>
  <c r="H32" i="7"/>
  <c r="B34" i="7"/>
  <c r="J35" i="7"/>
  <c r="D37" i="7"/>
  <c r="L38" i="7"/>
  <c r="F40" i="7"/>
  <c r="G7" i="7"/>
  <c r="I10" i="7"/>
  <c r="C12" i="7"/>
  <c r="K13" i="7"/>
  <c r="E15" i="7"/>
  <c r="G18" i="7"/>
  <c r="I21" i="7"/>
  <c r="C23" i="7"/>
  <c r="K24" i="7"/>
  <c r="E26" i="7"/>
  <c r="G29" i="7"/>
  <c r="I32" i="7"/>
  <c r="C34" i="7"/>
  <c r="K35" i="7"/>
  <c r="E37" i="7"/>
  <c r="M38" i="7"/>
  <c r="G40" i="7"/>
  <c r="R9" i="4"/>
  <c r="AQ9" i="4" s="1"/>
  <c r="B9" i="6" s="1"/>
  <c r="H9" i="6" s="1"/>
  <c r="H7" i="7"/>
  <c r="J10" i="7"/>
  <c r="D12" i="7"/>
  <c r="F15" i="7"/>
  <c r="H18" i="7"/>
  <c r="J21" i="7"/>
  <c r="D23" i="7"/>
  <c r="L24" i="7"/>
  <c r="F26" i="7"/>
  <c r="H29" i="7"/>
  <c r="J32" i="7"/>
  <c r="D34" i="7"/>
  <c r="L35" i="7"/>
  <c r="F37" i="7"/>
  <c r="H40" i="7"/>
  <c r="A2" i="6"/>
  <c r="G15" i="7"/>
  <c r="I18" i="7"/>
  <c r="G26" i="7"/>
  <c r="I29" i="7"/>
  <c r="G37" i="7"/>
  <c r="I40" i="7"/>
  <c r="H37" i="7"/>
  <c r="B39" i="7"/>
  <c r="J40" i="7"/>
  <c r="I37" i="7"/>
  <c r="C39" i="7"/>
  <c r="K40" i="7"/>
  <c r="AB9" i="4"/>
  <c r="C34" i="6" s="1"/>
  <c r="H34" i="6" s="1"/>
  <c r="H34" i="7"/>
  <c r="B36" i="7"/>
  <c r="J37" i="7"/>
  <c r="D39" i="7"/>
  <c r="L40" i="7"/>
  <c r="M207" i="5"/>
  <c r="E6" i="7"/>
  <c r="G9" i="7"/>
  <c r="I12" i="7"/>
  <c r="C14" i="7"/>
  <c r="K15" i="7"/>
  <c r="E17" i="7"/>
  <c r="G20" i="7"/>
  <c r="I23" i="7"/>
  <c r="C25" i="7"/>
  <c r="K26" i="7"/>
  <c r="E28" i="7"/>
  <c r="G31" i="7"/>
  <c r="I34" i="7"/>
  <c r="C36" i="7"/>
  <c r="K37" i="7"/>
  <c r="E39" i="7"/>
  <c r="AD9" i="4"/>
  <c r="D8" i="6" s="1"/>
  <c r="F6" i="7"/>
  <c r="J12" i="7"/>
  <c r="D14" i="7"/>
  <c r="L15" i="7"/>
  <c r="F17" i="7"/>
  <c r="J23" i="7"/>
  <c r="D25" i="7"/>
  <c r="L26" i="7"/>
  <c r="F28" i="7"/>
  <c r="J34" i="7"/>
  <c r="D36" i="7"/>
  <c r="L37" i="7"/>
  <c r="F39" i="7"/>
  <c r="R10" i="4"/>
  <c r="V10" i="4"/>
  <c r="AR10" i="4" s="1"/>
  <c r="B10" i="6" s="1"/>
  <c r="H10" i="6" s="1"/>
  <c r="G6" i="7"/>
  <c r="K12" i="7"/>
  <c r="E14" i="7"/>
  <c r="G17" i="7"/>
  <c r="K23" i="7"/>
  <c r="E25" i="7"/>
  <c r="G28" i="7"/>
  <c r="I31" i="7"/>
  <c r="C33" i="7"/>
  <c r="K34" i="7"/>
  <c r="E36" i="7"/>
  <c r="G39" i="7"/>
  <c r="H6" i="7"/>
  <c r="B8" i="7"/>
  <c r="J9" i="7"/>
  <c r="D11" i="7"/>
  <c r="L12" i="7"/>
  <c r="M46" i="7" s="1"/>
  <c r="F14" i="7"/>
  <c r="H17" i="7"/>
  <c r="B19" i="7"/>
  <c r="J20" i="7"/>
  <c r="D22" i="7"/>
  <c r="L23" i="7"/>
  <c r="F25" i="7"/>
  <c r="H28" i="7"/>
  <c r="B30" i="7"/>
  <c r="J31" i="7"/>
  <c r="D33" i="7"/>
  <c r="L34" i="7"/>
  <c r="F36" i="7"/>
  <c r="H39" i="7"/>
  <c r="I6" i="7"/>
  <c r="M43" i="7" s="1"/>
  <c r="C8" i="7"/>
  <c r="K9" i="7"/>
  <c r="M44" i="7" s="1"/>
  <c r="E11" i="7"/>
  <c r="G14" i="7"/>
  <c r="I17" i="7"/>
  <c r="C19" i="7"/>
  <c r="K20" i="7"/>
  <c r="E22" i="7"/>
  <c r="G25" i="7"/>
  <c r="I28" i="7"/>
  <c r="C30" i="7"/>
  <c r="K31" i="7"/>
  <c r="E33" i="7"/>
  <c r="G36" i="7"/>
  <c r="I39" i="7"/>
  <c r="P10" i="5"/>
  <c r="G27" i="6" s="1"/>
  <c r="H27" i="6" s="1"/>
  <c r="J6" i="7"/>
  <c r="H14" i="7"/>
  <c r="J17" i="7"/>
  <c r="H25" i="7"/>
  <c r="J28" i="7"/>
  <c r="H36" i="7"/>
  <c r="B38" i="7"/>
  <c r="J39" i="7"/>
  <c r="E38" i="6" l="1"/>
  <c r="H36" i="6"/>
  <c r="H8" i="6"/>
  <c r="D38" i="6"/>
  <c r="C38" i="6"/>
  <c r="A1" i="7"/>
  <c r="A1" i="6"/>
  <c r="A1" i="4"/>
  <c r="A1" i="3"/>
  <c r="A1" i="5"/>
  <c r="V207" i="4"/>
  <c r="B11" i="6"/>
  <c r="R207" i="4"/>
  <c r="AF207" i="4"/>
  <c r="AQ10" i="4"/>
  <c r="B12" i="6" s="1"/>
  <c r="H12" i="6" s="1"/>
  <c r="AR207" i="4"/>
  <c r="G38" i="6"/>
  <c r="H11" i="6" l="1"/>
  <c r="H15" i="6" s="1"/>
  <c r="B38" i="6"/>
  <c r="H38" i="6" s="1"/>
  <c r="I38" i="6" s="1"/>
  <c r="AQ207" i="4"/>
  <c r="I15" i="6" l="1"/>
</calcChain>
</file>

<file path=xl/sharedStrings.xml><?xml version="1.0" encoding="utf-8"?>
<sst xmlns="http://schemas.openxmlformats.org/spreadsheetml/2006/main" count="1021" uniqueCount="320">
  <si>
    <t>PT ITSEC ASIA — COMMISSION TRACKER  |  HOW TO USE THIS FILE</t>
  </si>
  <si>
    <t>Follow these steps IN ORDER every quarter. Only one person edits at a time.</t>
  </si>
  <si>
    <t xml:space="preserve">  STEP 1   CONFIG — SET QUARTER &amp; RATES</t>
  </si>
  <si>
    <t>👤  Owner: Finance / Sales Director</t>
  </si>
  <si>
    <t>📄  Sheet: Config</t>
  </si>
  <si>
    <t>1.</t>
  </si>
  <si>
    <t>Open the Config sheet.</t>
  </si>
  <si>
    <t>2.</t>
  </si>
  <si>
    <t>Set the Quarter (Q1/Q2/Q3/Q4) and Year in the yellow cells.</t>
  </si>
  <si>
    <t>3.</t>
  </si>
  <si>
    <t>Verify commission rates are correct (5% flat PIC, 3.5% Presales, etc.).</t>
  </si>
  <si>
    <t>4.</t>
  </si>
  <si>
    <t>If the people lists have changed (new hires, role changes), update the yellow name rows at the bottom of Config.</t>
  </si>
  <si>
    <t>5.</t>
  </si>
  <si>
    <t>Save the file.</t>
  </si>
  <si>
    <t>⚠  Do this FIRST before anyone else edits. Quarter drives all date filters across the whole file.</t>
  </si>
  <si>
    <t xml:space="preserve">  STEP 2   RAW DATA — PASTE EXPORT</t>
  </si>
  <si>
    <t>👤  Owner: Finance</t>
  </si>
  <si>
    <t>📄  Sheet: Raw Data</t>
  </si>
  <si>
    <t>Open the Raw Data sheet.</t>
  </si>
  <si>
    <t>Delete all previous quarter data (rows 4 onwards).</t>
  </si>
  <si>
    <t>Paste the new quarterly export starting from row 3 (keep column order matching the headers).</t>
  </si>
  <si>
    <t>Verify invoice dates are within the quarter range shown in the banner.</t>
  </si>
  <si>
    <t>⚠  Do NOT change column order. Commission Data sheets auto-populate from here based on invoice dates.</t>
  </si>
  <si>
    <t xml:space="preserve">  STEP 3   COMMISSION DATA — SALES</t>
  </si>
  <si>
    <t>👤  Owner: Sales Director</t>
  </si>
  <si>
    <t>📄  Sheet: Commission Data — Sales</t>
  </si>
  <si>
    <t>Open the Commission Data — Sales sheet.</t>
  </si>
  <si>
    <t>For each invoice row: assign Sales PIC 1 (required). Add PIC 2 / PIC 3 if the deal is shared.</t>
  </si>
  <si>
    <t>Set Share % for each PIC — the PIC Share ⚠ column turns GREEN when shares = 100%.</t>
  </si>
  <si>
    <t>Set Project Type: Standard (default) or Umbrella Contract. Umbrella Contract automatically applies 2.5% rate.</t>
  </si>
  <si>
    <t>If Umbrella Contract: assign PM Name.</t>
  </si>
  <si>
    <t>6.</t>
  </si>
  <si>
    <t>Assign Sales Manager and Sales Director names per row.</t>
  </si>
  <si>
    <t>7.</t>
  </si>
  <si>
    <t>Add Referral person(s) and share % if applicable.</t>
  </si>
  <si>
    <t>8.</t>
  </si>
  <si>
    <t>Save and pass file to Presales Manager.</t>
  </si>
  <si>
    <t>⚠  PIC shares must sum to 100% per row. Check the ⚠ column — red = over 100%, amber = under 100%.</t>
  </si>
  <si>
    <t xml:space="preserve">  STEP 4   COMMISSION DATA — PRESALES</t>
  </si>
  <si>
    <t>👤  Owner: Presales Manager</t>
  </si>
  <si>
    <t>📄  Sheet: Commission Data — Presales</t>
  </si>
  <si>
    <t>Open the Commission Data — Presales sheet.</t>
  </si>
  <si>
    <t>Invoice rows are already populated from Raw Data.</t>
  </si>
  <si>
    <t>For each relevant invoice: assign Presales 1 (and Presales 2/3 if shared).</t>
  </si>
  <si>
    <t>Set Share % for each presales person — PS Share ⚠ turns GREEN at 100%.</t>
  </si>
  <si>
    <t>Leave rows blank where no presales involvement.</t>
  </si>
  <si>
    <t>Save and return file to Sales Director.</t>
  </si>
  <si>
    <t>⚠  Presales shares must sum to 100% per row when presales is involved. Not all deals need presales.</t>
  </si>
  <si>
    <t xml:space="preserve">  STEP 5   INDIVIDUAL SLIPS — SHARE WITH TEAM</t>
  </si>
  <si>
    <t>📄  Sheet: Individual name tabs</t>
  </si>
  <si>
    <t>Each salesperson and presales person has their own sheet (tab at the bottom of the file).</t>
  </si>
  <si>
    <t>Their sheet shows only their invoices, their rate, their commission, and whether it was shared.</t>
  </si>
  <si>
    <t>Export the relevant tab as PDF and send to each person.</t>
  </si>
  <si>
    <t>Payout deadline is shown in the banner of each individual sheet.</t>
  </si>
  <si>
    <t xml:space="preserve">  QUICK REFERENCE — COMMISSION RATES</t>
  </si>
  <si>
    <t>Role / Rule</t>
  </si>
  <si>
    <t>Rate</t>
  </si>
  <si>
    <t>Notes</t>
  </si>
  <si>
    <t>Sales PIC (Standard)</t>
  </si>
  <si>
    <t>5% of applied margin × share %</t>
  </si>
  <si>
    <t>Quarterly flat. Year-end tier uplift reconciled separately.</t>
  </si>
  <si>
    <t>Sales PIC (Umbrella Contract)</t>
  </si>
  <si>
    <t>2.5% of applied margin × share %</t>
  </si>
  <si>
    <t>Umbrella Contract pool = 2.5%. PM gets separate 2.5%.</t>
  </si>
  <si>
    <t>PM (Umbrella Contract deals only)</t>
  </si>
  <si>
    <t>2.5% of applied margin</t>
  </si>
  <si>
    <t>Only paid when Project Type = Umbrella Contract and PM name is filled.</t>
  </si>
  <si>
    <t>Sales Manager</t>
  </si>
  <si>
    <t>0.7% of applied margin</t>
  </si>
  <si>
    <t>0% if Manager is also the Sales PIC on that deal.</t>
  </si>
  <si>
    <t>Sales Director</t>
  </si>
  <si>
    <t>0.3% of applied margin</t>
  </si>
  <si>
    <t>0% if Director is also the Sales PIC on that deal.</t>
  </si>
  <si>
    <t>Presales</t>
  </si>
  <si>
    <t>3.5% of applied margin × share %</t>
  </si>
  <si>
    <t>Up to 3 presales persons, shares must sum to 100%.</t>
  </si>
  <si>
    <t>Referral</t>
  </si>
  <si>
    <t>1% of applied margin (from PIC net)</t>
  </si>
  <si>
    <t>Deducted from PIC commission. Free text — any name.</t>
  </si>
  <si>
    <t>Margin rule (Closed)</t>
  </si>
  <si>
    <t>MIN(estimated margin, final margin)</t>
  </si>
  <si>
    <t>Uses most conservative figure once project is closed.</t>
  </si>
  <si>
    <t>Margin rule (Other)</t>
  </si>
  <si>
    <t>Estimated margin only</t>
  </si>
  <si>
    <t>"Closed - Missing Orange", "Active" etc. all use estimated margin.</t>
  </si>
  <si>
    <t>Year-end reconciliation</t>
  </si>
  <si>
    <t>Tier uplift paid separately</t>
  </si>
  <si>
    <t>100-120% quota: +2.5%. &gt;120%: +5%. One-off bonus: +1% at 100%.</t>
  </si>
  <si>
    <t>PT ITSEC ASIA — COMMISSION TRACKER CONFIGURATION</t>
  </si>
  <si>
    <t>Change YELLOW cells only. All sheets update automatically.</t>
  </si>
  <si>
    <t>Setting</t>
  </si>
  <si>
    <t>Value</t>
  </si>
  <si>
    <t>Result / Notes</t>
  </si>
  <si>
    <t>Quarter</t>
  </si>
  <si>
    <t>Q1</t>
  </si>
  <si>
    <t>Q1 / Q2 / Q3 / Q4</t>
  </si>
  <si>
    <t>Year</t>
  </si>
  <si>
    <t>4-digit year</t>
  </si>
  <si>
    <t>Quarter Label</t>
  </si>
  <si>
    <t>Auto: "Q1 2026"</t>
  </si>
  <si>
    <t>Quarter Start</t>
  </si>
  <si>
    <t>First day of selected quarter</t>
  </si>
  <si>
    <t>Quarter End</t>
  </si>
  <si>
    <t>Last day of selected quarter</t>
  </si>
  <si>
    <t>Payout Deadline</t>
  </si>
  <si>
    <t>30 days after quarter end</t>
  </si>
  <si>
    <t>Report Title</t>
  </si>
  <si>
    <t>Used in all banners</t>
  </si>
  <si>
    <t>MARGIN CALCULATION RULES</t>
  </si>
  <si>
    <t>Status = "Closed" exactly</t>
  </si>
  <si>
    <t>MIN(Est. Margin, Final Margin)</t>
  </si>
  <si>
    <t>Uses most conservative figure. Final margin confirmed in PSOhub.</t>
  </si>
  <si>
    <t>All other statuses (Active, Partially Closed, Closed - Missing Orange…)</t>
  </si>
  <si>
    <t>Estimated Margin only</t>
  </si>
  <si>
    <t>Actual margin not yet confirmed. Adjusted at project close.</t>
  </si>
  <si>
    <t>Est. Margin source: PSOHUB col filled</t>
  </si>
  <si>
    <t>PSO Hub Est. Margin (col P)</t>
  </si>
  <si>
    <t>Project in PSOhub → use PSOhub estimated margin</t>
  </si>
  <si>
    <t>Est. Margin source: PSOHUB col blank</t>
  </si>
  <si>
    <t>Deal Sheet Margin (col R)</t>
  </si>
  <si>
    <t>Pre-PSOhub project → use Deal Sheet margin as estimated</t>
  </si>
  <si>
    <t>Rate Setting</t>
  </si>
  <si>
    <t>Sales PIC – Quarterly Rate (Standard)</t>
  </si>
  <si>
    <t>← C20  Flat 5% paid every quarter. Tier uplift reconciled at year-end.</t>
  </si>
  <si>
    <t>Sales PIC – Umbrella Contract rate (total pool)</t>
  </si>
  <si>
    <t>← C21  Umbrella Contract: PIC pool 2.5%×share%. PM gets 2.5% separately.</t>
  </si>
  <si>
    <t>PM – Umbrella Contract rate</t>
  </si>
  <si>
    <t>← C22  PM always earns 2.5% of applied comm base on Umbrella Contract.</t>
  </si>
  <si>
    <t>Sales Manager commission</t>
  </si>
  <si>
    <t>← C23</t>
  </si>
  <si>
    <t>Sales Director commission</t>
  </si>
  <si>
    <t>← C24</t>
  </si>
  <si>
    <t>Presales commission</t>
  </si>
  <si>
    <t>← C25</t>
  </si>
  <si>
    <t>Employee Referral pool (% of margin)</t>
  </si>
  <si>
    <t>← C26  1% deducted from PIC net.</t>
  </si>
  <si>
    <t>👥  DROPDOWN PEOPLE LISTS  (edit here to update all dropdowns)</t>
  </si>
  <si>
    <t>Role</t>
  </si>
  <si>
    <t>Eko P W</t>
  </si>
  <si>
    <t>Add names in yellow rows ↓ — dropdowns update automatically</t>
  </si>
  <si>
    <t>Esther Maggie</t>
  </si>
  <si>
    <t>Eka Yulianti</t>
  </si>
  <si>
    <t>Sales PIC</t>
  </si>
  <si>
    <t>Rafi Zafran</t>
  </si>
  <si>
    <t>Krestianto Aditya</t>
  </si>
  <si>
    <t>Fakhri Ahmad</t>
  </si>
  <si>
    <t>Arditha Anggun</t>
  </si>
  <si>
    <t>Meirika Tambunan</t>
  </si>
  <si>
    <t>Rivanya Marsha</t>
  </si>
  <si>
    <t>Rizki Arisanti</t>
  </si>
  <si>
    <t>Andy Wijaya</t>
  </si>
  <si>
    <t>Atik Pilihanto</t>
  </si>
  <si>
    <t>Arief Muttaqien</t>
  </si>
  <si>
    <t>Anton Dwi Suhartanto</t>
  </si>
  <si>
    <t>Nuki Agustino W</t>
  </si>
  <si>
    <t>Rizal Safrudin</t>
  </si>
  <si>
    <t>Bambang Susilo</t>
  </si>
  <si>
    <t>M Natsir</t>
  </si>
  <si>
    <t>Robby Anzil</t>
  </si>
  <si>
    <t>Ali Hasbullah</t>
  </si>
  <si>
    <t>Robert Salusu</t>
  </si>
  <si>
    <t>Vinsensius</t>
  </si>
  <si>
    <t>Junior Lazuardi</t>
  </si>
  <si>
    <t>Henky</t>
  </si>
  <si>
    <t>Rio Asepta</t>
  </si>
  <si>
    <t>Irvan Hendrik</t>
  </si>
  <si>
    <t>PM (Umbrella Contract)</t>
  </si>
  <si>
    <t>Andi Sunandi</t>
  </si>
  <si>
    <t>Andriko Perdana</t>
  </si>
  <si>
    <t>📥  Paste raw data here from row 3. Keep column order matching the headers below.</t>
  </si>
  <si>
    <t>Service Type</t>
  </si>
  <si>
    <t>Client Name</t>
  </si>
  <si>
    <t>Invoice No.</t>
  </si>
  <si>
    <t>PSOHUB</t>
  </si>
  <si>
    <t>Project Status</t>
  </si>
  <si>
    <t>Start Date</t>
  </si>
  <si>
    <t>Reference</t>
  </si>
  <si>
    <t>Description</t>
  </si>
  <si>
    <t>Invoice Date</t>
  </si>
  <si>
    <t>Due Date</t>
  </si>
  <si>
    <t>Amount (Gross)</t>
  </si>
  <si>
    <t>Tax</t>
  </si>
  <si>
    <t>WHT &amp; Penalty</t>
  </si>
  <si>
    <t>Cash In</t>
  </si>
  <si>
    <t>Revenue (Net)</t>
  </si>
  <si>
    <t>PSO Hub
Est. Margin</t>
  </si>
  <si>
    <t>PSO Hub
Final Margin</t>
  </si>
  <si>
    <t>Deal Sheet
Margin</t>
  </si>
  <si>
    <t>Commission
Base (Source)</t>
  </si>
  <si>
    <t>Pentest</t>
  </si>
  <si>
    <t>PT Dummy Bank Tbk</t>
  </si>
  <si>
    <t>INV-990001</t>
  </si>
  <si>
    <t>PRO-2026-901</t>
  </si>
  <si>
    <t>Closed</t>
  </si>
  <si>
    <t>PO 001/DUMMY/2026</t>
  </si>
  <si>
    <t>Web Application Penetration Test - Phase 1</t>
  </si>
  <si>
    <t>Governance</t>
  </si>
  <si>
    <t>PT Dummy Insurance</t>
  </si>
  <si>
    <t>INV-990002</t>
  </si>
  <si>
    <t>PRO-2026-902</t>
  </si>
  <si>
    <t>Active</t>
  </si>
  <si>
    <t>PO 002/DUMMY/2026</t>
  </si>
  <si>
    <t>GRC Framework Assessment &amp; Remediation Term 1 - 50%</t>
  </si>
  <si>
    <t>Solution</t>
  </si>
  <si>
    <t>PT Dummy Telco</t>
  </si>
  <si>
    <t>INV-990003</t>
  </si>
  <si>
    <t>PRO-2026-903</t>
  </si>
  <si>
    <t>PO 003/DUMMY/2026</t>
  </si>
  <si>
    <t>Managed SOC Services - Month 3</t>
  </si>
  <si>
    <t>MSS</t>
  </si>
  <si>
    <t>PT Dummy Energy</t>
  </si>
  <si>
    <t>INV-990004</t>
  </si>
  <si>
    <t>PRO-2026-904</t>
  </si>
  <si>
    <t>Closed - Missing Orange</t>
  </si>
  <si>
    <t>PO 004/DUMMY/2026</t>
  </si>
  <si>
    <t>Vulnerability Assessment &amp; License Renewal</t>
  </si>
  <si>
    <t>Forensic</t>
  </si>
  <si>
    <t>PT Dummy Retail</t>
  </si>
  <si>
    <t>INV-990005</t>
  </si>
  <si>
    <t>PKS 005/DUMMY/2026</t>
  </si>
  <si>
    <t>Digital Forensic Investigation - Term 1 - 40%</t>
  </si>
  <si>
    <t>DEAL INFO</t>
  </si>
  <si>
    <t>FINANCIALS &amp; MARGIN</t>
  </si>
  <si>
    <t>PROJECT TYPE</t>
  </si>
  <si>
    <t>SALES PIC (up to 3) — share-based</t>
  </si>
  <si>
    <t>PM — Umbrella Contract only</t>
  </si>
  <si>
    <t>SALES MANAGER</t>
  </si>
  <si>
    <t>SALES DIRECTOR</t>
  </si>
  <si>
    <t>REFERRAL (free text)</t>
  </si>
  <si>
    <t>PIC
Share ⚠</t>
  </si>
  <si>
    <t>PIC NET COMM</t>
  </si>
  <si>
    <t>#</t>
  </si>
  <si>
    <t>Service
Type</t>
  </si>
  <si>
    <t>Client</t>
  </si>
  <si>
    <t>Invoice</t>
  </si>
  <si>
    <t>Status</t>
  </si>
  <si>
    <t>Date</t>
  </si>
  <si>
    <t>Rev
Net</t>
  </si>
  <si>
    <t>Est.
Margin</t>
  </si>
  <si>
    <t>Final
Margin</t>
  </si>
  <si>
    <t>APPLIED
MARGIN</t>
  </si>
  <si>
    <t>Comm
Base</t>
  </si>
  <si>
    <t>Project
Type</t>
  </si>
  <si>
    <t>PIC 1
Name</t>
  </si>
  <si>
    <t>PIC 1
Share%</t>
  </si>
  <si>
    <t>PIC 1
Rate</t>
  </si>
  <si>
    <t>PIC 1
Comm</t>
  </si>
  <si>
    <t>PIC 2
Name</t>
  </si>
  <si>
    <t>PIC 2
Share%</t>
  </si>
  <si>
    <t>PIC 2
Rate</t>
  </si>
  <si>
    <t>PIC 2
Comm</t>
  </si>
  <si>
    <t>PIC 3
Name</t>
  </si>
  <si>
    <t>PIC 3
Share%</t>
  </si>
  <si>
    <t>PIC 3
Rate</t>
  </si>
  <si>
    <t>PIC 3
Comm</t>
  </si>
  <si>
    <t>PM
Name</t>
  </si>
  <si>
    <t>PM
Comm</t>
  </si>
  <si>
    <t>Mgr
Name</t>
  </si>
  <si>
    <t>Mgr
Comm</t>
  </si>
  <si>
    <t>Dir
Name</t>
  </si>
  <si>
    <t>Dir
Comm</t>
  </si>
  <si>
    <t>Ref 1
Name</t>
  </si>
  <si>
    <t>Ref 1
%</t>
  </si>
  <si>
    <t>Ref 1
Comm</t>
  </si>
  <si>
    <t>Ref 2
Name</t>
  </si>
  <si>
    <t>Ref 2
%</t>
  </si>
  <si>
    <t>Ref 2
Comm</t>
  </si>
  <si>
    <t>Ref 3
Name</t>
  </si>
  <si>
    <t>Ref 3
%</t>
  </si>
  <si>
    <t>Ref 3
Comm</t>
  </si>
  <si>
    <t>PIC 1
NET</t>
  </si>
  <si>
    <t>PIC 2
NET</t>
  </si>
  <si>
    <t>PIC 3
NET</t>
  </si>
  <si>
    <t>Standard</t>
  </si>
  <si>
    <t>Umbrella Contract</t>
  </si>
  <si>
    <t>GRAND TOTAL</t>
  </si>
  <si>
    <t>PRESALES (up to 3)</t>
  </si>
  <si>
    <t>PS Share ⚠</t>
  </si>
  <si>
    <t>PS 1
Name</t>
  </si>
  <si>
    <t>PS 1
Share%</t>
  </si>
  <si>
    <t>PS 1
Comm</t>
  </si>
  <si>
    <t>PS 2
Name</t>
  </si>
  <si>
    <t>PS 2
Share%</t>
  </si>
  <si>
    <t>PS 2
Comm</t>
  </si>
  <si>
    <t>PS 3
Name</t>
  </si>
  <si>
    <t>PS 3
Share%</t>
  </si>
  <si>
    <t>PS 3
Comm</t>
  </si>
  <si>
    <t>PS
Share ⚠</t>
  </si>
  <si>
    <t>Person</t>
  </si>
  <si>
    <t>PIC NET
Comm</t>
  </si>
  <si>
    <t>PM Comm
Paid</t>
  </si>
  <si>
    <t>Mgr Comm
Received</t>
  </si>
  <si>
    <t>Dir Comm
Received</t>
  </si>
  <si>
    <t>Referral
Received</t>
  </si>
  <si>
    <t>PS Comm
Received</t>
  </si>
  <si>
    <t>TOTAL
Earnings</t>
  </si>
  <si>
    <t>SALES PIC</t>
  </si>
  <si>
    <t>Control</t>
  </si>
  <si>
    <t>Total</t>
  </si>
  <si>
    <t>PRESALES</t>
  </si>
  <si>
    <t>MANAGEMENT &amp; PM</t>
  </si>
  <si>
    <t>TOTAL</t>
  </si>
  <si>
    <t>👤  Select Person:</t>
  </si>
  <si>
    <t>Row
(hidden)</t>
  </si>
  <si>
    <t>Proj
Type</t>
  </si>
  <si>
    <t>Applied
Margin</t>
  </si>
  <si>
    <t>Rate
×Share</t>
  </si>
  <si>
    <t>Gross
Comm</t>
  </si>
  <si>
    <t>NET Comm
(after ref)</t>
  </si>
  <si>
    <t>Shared?
Note</t>
  </si>
  <si>
    <t>M</t>
  </si>
  <si>
    <t>P</t>
  </si>
  <si>
    <t>Total Invoices</t>
  </si>
  <si>
    <t>Total Comm Base</t>
  </si>
  <si>
    <t>Gross Commission (PIC / PS / PM)</t>
  </si>
  <si>
    <t>Mgr / Dir Commission (all deals)</t>
  </si>
  <si>
    <t>NET Commission — ALL ROLES (gross, before PPh 21)</t>
  </si>
  <si>
    <t>⚠  Amount above is gross before PPh 21. PPh 21 deduction will apply in final payment.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</si>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</sst>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70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  <charset val="1"/>
    </font>
    <font>
      <i/>
      <sz val="10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2C3E50"/>
      <name val="Calibri"/>
      <family val="2"/>
      <charset val="1"/>
    </font>
    <font>
      <sz val="10"/>
      <color rgb="FF1C1C1C"/>
      <name val="Calibri"/>
      <family val="2"/>
      <charset val="1"/>
    </font>
    <font>
      <i/>
      <sz val="9"/>
      <color rgb="FF2C3E50"/>
      <name val="Calibri"/>
      <family val="2"/>
      <charset val="1"/>
    </font>
    <font>
      <b/>
      <sz val="10"/>
      <color rgb="FF2471A3"/>
      <name val="Calibri"/>
      <family val="2"/>
      <charset val="1"/>
    </font>
    <font>
      <i/>
      <sz val="9"/>
      <color rgb="FF2471A3"/>
      <name val="Calibri"/>
      <family val="2"/>
      <charset val="1"/>
    </font>
    <font>
      <b/>
      <sz val="10"/>
      <color rgb="FFC0392B"/>
      <name val="Calibri"/>
      <family val="2"/>
      <charset val="1"/>
    </font>
    <font>
      <i/>
      <sz val="9"/>
      <color rgb="FFC0392B"/>
      <name val="Calibri"/>
      <family val="2"/>
      <charset val="1"/>
    </font>
    <font>
      <b/>
      <sz val="10"/>
      <color rgb="FF117A65"/>
      <name val="Calibri"/>
      <family val="2"/>
      <charset val="1"/>
    </font>
    <font>
      <i/>
      <sz val="9"/>
      <color rgb="FF117A65"/>
      <name val="Calibri"/>
      <family val="2"/>
      <charset val="1"/>
    </font>
    <font>
      <b/>
      <sz val="10"/>
      <color rgb="FF922B21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9"/>
      <color rgb="FFC0392B"/>
      <name val="Calibri"/>
      <charset val="1"/>
    </font>
    <font>
      <sz val="9"/>
      <color rgb="FFE67E22"/>
      <name val="Calibri"/>
      <charset val="1"/>
    </font>
    <font>
      <i/>
      <sz val="9"/>
      <color rgb="FF566573"/>
      <name val="Calibri"/>
      <charset val="1"/>
    </font>
    <font>
      <b/>
      <sz val="9"/>
      <color rgb="FF2C3E50"/>
      <name val="Calibri"/>
      <charset val="1"/>
    </font>
    <font>
      <b/>
      <sz val="14"/>
      <color rgb="FFFFFFFF"/>
      <name val="Calibri"/>
      <family val="2"/>
      <charset val="1"/>
    </font>
    <font>
      <i/>
      <sz val="9"/>
      <color rgb="FFFFFFFF"/>
      <name val="Calibri"/>
      <family val="2"/>
      <charset val="1"/>
    </font>
    <font>
      <b/>
      <sz val="9"/>
      <color rgb="FF1C1C1C"/>
      <name val="Calibri"/>
      <family val="2"/>
      <charset val="1"/>
    </font>
    <font>
      <i/>
      <sz val="8"/>
      <color rgb="FF566573"/>
      <name val="Calibri"/>
      <family val="2"/>
      <charset val="1"/>
    </font>
    <font>
      <b/>
      <sz val="10"/>
      <color rgb="FF1E8449"/>
      <name val="Calibri"/>
      <family val="2"/>
      <charset val="1"/>
    </font>
    <font>
      <b/>
      <sz val="9"/>
      <color rgb="FF2C3E50"/>
      <name val="Calibri"/>
      <family val="2"/>
      <charset val="1"/>
    </font>
    <font>
      <b/>
      <sz val="9"/>
      <color rgb="FFE67E22"/>
      <name val="Calibri"/>
      <family val="2"/>
      <charset val="1"/>
    </font>
    <font>
      <sz val="9"/>
      <color rgb="FF1C1C1C"/>
      <name val="Calibri"/>
      <family val="2"/>
      <charset val="1"/>
    </font>
    <font>
      <b/>
      <sz val="10"/>
      <color rgb="FF6C3483"/>
      <name val="Calibri"/>
      <family val="2"/>
      <charset val="1"/>
    </font>
    <font>
      <b/>
      <sz val="10"/>
      <color rgb="FFF39C12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1"/>
      <name val="Calibri"/>
      <family val="2"/>
      <charset val="1"/>
    </font>
    <font>
      <sz val="9"/>
      <color rgb="FF2C3E50"/>
      <name val="Calibri"/>
      <family val="2"/>
      <charset val="1"/>
    </font>
    <font>
      <b/>
      <sz val="9"/>
      <color rgb="FF2471A3"/>
      <name val="Calibri"/>
      <family val="2"/>
      <charset val="1"/>
    </font>
    <font>
      <sz val="9"/>
      <color rgb="FF2471A3"/>
      <name val="Calibri"/>
      <family val="2"/>
      <charset val="1"/>
    </font>
    <font>
      <b/>
      <sz val="9"/>
      <color rgb="FFC0392B"/>
      <name val="Calibri"/>
      <family val="2"/>
      <charset val="1"/>
    </font>
    <font>
      <sz val="9"/>
      <color rgb="FFC0392B"/>
      <name val="Calibri"/>
      <family val="2"/>
      <charset val="1"/>
    </font>
    <font>
      <b/>
      <sz val="9"/>
      <color rgb="FF117A65"/>
      <name val="Calibri"/>
      <family val="2"/>
      <charset val="1"/>
    </font>
    <font>
      <sz val="9"/>
      <color rgb="FF117A65"/>
      <name val="Calibri"/>
      <family val="2"/>
      <charset val="1"/>
    </font>
    <font>
      <b/>
      <sz val="9"/>
      <color rgb="FF6C3483"/>
      <name val="Calibri"/>
      <family val="2"/>
      <charset val="1"/>
    </font>
    <font>
      <sz val="9"/>
      <color rgb="FF6C3483"/>
      <name val="Calibri"/>
      <family val="2"/>
      <charset val="1"/>
    </font>
    <font>
      <i/>
      <sz val="9"/>
      <color rgb="FF566573"/>
      <name val="Calibri"/>
      <family val="2"/>
      <charset val="1"/>
    </font>
    <font>
      <b/>
      <sz val="13"/>
      <color rgb="FFFFFFFF"/>
      <name val="Calibri"/>
      <family val="2"/>
      <charset val="1"/>
    </font>
    <font>
      <i/>
      <sz val="9"/>
      <color rgb="FF922B21"/>
      <name val="Calibri"/>
      <family val="2"/>
      <charset val="1"/>
    </font>
    <font>
      <b/>
      <sz val="8"/>
      <color rgb="FFFFFFFF"/>
      <name val="Calibri"/>
      <family val="2"/>
      <charset val="1"/>
    </font>
    <font>
      <sz val="9"/>
      <name val="Calibri"/>
      <family val="2"/>
      <charset val="1"/>
    </font>
    <font>
      <b/>
      <i/>
      <sz val="8"/>
      <color rgb="FFFFFFFF"/>
      <name val="Calibri"/>
      <family val="2"/>
      <charset val="1"/>
    </font>
    <font>
      <sz val="7"/>
      <color rgb="FF888888"/>
      <name val="Calibri"/>
      <family val="2"/>
      <charset val="1"/>
    </font>
    <font>
      <b/>
      <sz val="9"/>
      <name val="Calibri"/>
      <family val="2"/>
      <charset val="1"/>
    </font>
    <font>
      <sz val="9"/>
      <color rgb="FFF39C12"/>
      <name val="Calibri"/>
      <family val="2"/>
      <charset val="1"/>
    </font>
    <font>
      <b/>
      <i/>
      <sz val="9"/>
      <color rgb="FF2C3E50"/>
      <name val="Calibri"/>
      <family val="2"/>
      <charset val="1"/>
    </font>
    <font>
      <b/>
      <sz val="9"/>
      <color rgb="FF1C1C1C"/>
      <name val="Calibri"/>
      <charset val="1"/>
    </font>
    <font>
      <sz val="9"/>
      <color rgb="FF6C3483"/>
      <name val="Calibri"/>
      <charset val="1"/>
    </font>
    <font>
      <sz val="9"/>
      <color rgb="FF2471A3"/>
      <name val="Calibri"/>
      <charset val="1"/>
    </font>
    <font>
      <sz val="9"/>
      <color rgb="FF2C3E50"/>
      <name val="Calibri"/>
      <charset val="1"/>
    </font>
    <font>
      <sz val="9"/>
      <color rgb="FFF39C12"/>
      <name val="Calibri"/>
      <charset val="1"/>
    </font>
    <font>
      <sz val="9"/>
      <color rgb="FF117A65"/>
      <name val="Calibri"/>
      <charset val="1"/>
    </font>
    <font>
      <sz val="8"/>
      <color theme="1"/>
      <name val="Calibri"/>
      <family val="2"/>
      <charset val="1"/>
    </font>
    <font>
      <b/>
      <sz val="9"/>
      <color rgb="FFFFFFFF"/>
      <name val="Calibri"/>
      <charset val="1"/>
    </font>
    <font>
      <b/>
      <sz val="11"/>
      <color theme="5"/>
      <name val="Calibri"/>
      <family val="2"/>
      <charset val="1"/>
    </font>
    <font>
      <b/>
      <sz val="9"/>
      <color rgb="FF117A65"/>
      <name val="Calibri"/>
      <charset val="1"/>
    </font>
    <font>
      <b/>
      <sz val="9"/>
      <color rgb="FF2471A3"/>
      <name val="Calibri"/>
      <charset val="1"/>
    </font>
    <font>
      <b/>
      <sz val="9"/>
      <name val="Calibri"/>
      <charset val="1"/>
    </font>
    <font>
      <b/>
      <sz val="10"/>
      <color rgb="FFFFFFFF"/>
      <name val="Calibri"/>
      <charset val="1"/>
    </font>
    <font>
      <b/>
      <sz val="11"/>
      <color rgb="FF922B21"/>
      <name val="Calibri"/>
      <family val="2"/>
      <charset val="1"/>
    </font>
    <font>
      <sz val="9"/>
      <color rgb="FF1C1C1C"/>
      <name val="Calibri"/>
      <charset val="1"/>
    </font>
    <font>
      <sz val="9"/>
      <name val="Calibri"/>
      <charset val="1"/>
    </font>
    <font>
      <b/>
      <sz val="9"/>
      <color rgb="FFE67E22"/>
      <name val="Calibri"/>
      <charset val="1"/>
    </font>
    <font>
      <b/>
      <sz val="11"/>
      <color rgb="FFFFFFFF"/>
      <name val="Calibri"/>
      <charset val="1"/>
    </font>
    <font>
      <i/>
      <sz val="8"/>
      <color rgb="FF2C3E50"/>
      <name val="Calibri"/>
      <charset val="1"/>
    </font>
    <font>
      <sz val="7"/>
      <color rgb="FF888888"/>
      <name val="Calibri"/>
      <charset val="1"/>
    </font>
  </fonts>
  <fills count="28">
    <fill>
      <patternFill patternType="none"/>
    </fill>
    <fill>
      <patternFill patternType="gray125"/>
    </fill>
    <fill>
      <patternFill patternType="solid">
        <fgColor rgb="FFC0392B"/>
        <bgColor rgb="FFC0504D"/>
      </patternFill>
    </fill>
    <fill>
      <patternFill patternType="solid">
        <fgColor rgb="FF922B21"/>
        <bgColor rgb="FFC0392B"/>
      </patternFill>
    </fill>
    <fill>
      <patternFill patternType="solid">
        <fgColor rgb="FF2C3E50"/>
        <bgColor rgb="FF333399"/>
      </patternFill>
    </fill>
    <fill>
      <patternFill patternType="solid">
        <fgColor rgb="FFF2F3F4"/>
        <bgColor rgb="FFF5EEF8"/>
      </patternFill>
    </fill>
    <fill>
      <patternFill patternType="solid">
        <fgColor rgb="FFFFFFFF"/>
        <bgColor rgb="FFFDFEFE"/>
      </patternFill>
    </fill>
    <fill>
      <patternFill patternType="solid">
        <fgColor rgb="FFFEF9E7"/>
        <bgColor rgb="FFFFFDE7"/>
      </patternFill>
    </fill>
    <fill>
      <patternFill patternType="solid">
        <fgColor rgb="FF2471A3"/>
        <bgColor rgb="FF117A65"/>
      </patternFill>
    </fill>
    <fill>
      <patternFill patternType="solid">
        <fgColor rgb="FF117A65"/>
        <bgColor rgb="FF1E8449"/>
      </patternFill>
    </fill>
    <fill>
      <patternFill patternType="solid">
        <fgColor rgb="FF1C1C1C"/>
        <bgColor rgb="FF003300"/>
      </patternFill>
    </fill>
    <fill>
      <patternFill patternType="solid">
        <fgColor rgb="FFD5F5E3"/>
        <bgColor rgb="FFD1F2EB"/>
      </patternFill>
    </fill>
    <fill>
      <patternFill patternType="solid">
        <fgColor rgb="FFE67E22"/>
        <bgColor rgb="FFF39C12"/>
      </patternFill>
    </fill>
    <fill>
      <patternFill patternType="solid">
        <fgColor rgb="FFFAE5D3"/>
        <bgColor rgb="FFFADBD8"/>
      </patternFill>
    </fill>
    <fill>
      <patternFill patternType="solid">
        <fgColor rgb="FF6C3483"/>
        <bgColor rgb="FF333399"/>
      </patternFill>
    </fill>
    <fill>
      <patternFill patternType="solid">
        <fgColor rgb="FFF39C12"/>
        <bgColor rgb="FFE67E22"/>
      </patternFill>
    </fill>
    <fill>
      <patternFill patternType="solid">
        <fgColor rgb="FFEEEEEE"/>
        <bgColor rgb="FFF2F3F4"/>
      </patternFill>
    </fill>
    <fill>
      <patternFill patternType="solid">
        <fgColor rgb="FFFADBD8"/>
        <bgColor rgb="FFFAE5D3"/>
      </patternFill>
    </fill>
    <fill>
      <patternFill patternType="solid">
        <fgColor rgb="FFE8DAEF"/>
        <bgColor rgb="FFDDDDDD"/>
      </patternFill>
    </fill>
    <fill>
      <patternFill patternType="solid">
        <fgColor rgb="FFD6EAF8"/>
        <bgColor rgb="FFD1F2EB"/>
      </patternFill>
    </fill>
    <fill>
      <patternFill patternType="solid">
        <fgColor rgb="FFFEF0E6"/>
        <bgColor rgb="FFFEF9E7"/>
      </patternFill>
    </fill>
    <fill>
      <patternFill patternType="solid">
        <fgColor rgb="FFFDFEFE"/>
        <bgColor rgb="FFFFFFFF"/>
      </patternFill>
    </fill>
    <fill>
      <patternFill patternType="solid">
        <fgColor rgb="FFF5EEF8"/>
        <bgColor rgb="FFF2F3F4"/>
      </patternFill>
    </fill>
    <fill>
      <patternFill patternType="solid">
        <fgColor rgb="FFEBF5FB"/>
        <bgColor rgb="FFE8F8F5"/>
      </patternFill>
    </fill>
    <fill>
      <patternFill patternType="solid">
        <fgColor rgb="FFFFFDE7"/>
        <bgColor rgb="FFFEF9E7"/>
      </patternFill>
    </fill>
    <fill>
      <patternFill patternType="solid">
        <fgColor rgb="FF0E6655"/>
        <bgColor rgb="FF117A65"/>
      </patternFill>
    </fill>
    <fill>
      <patternFill patternType="solid">
        <fgColor rgb="FFD1F2EB"/>
        <bgColor rgb="FFD5F5E3"/>
      </patternFill>
    </fill>
    <fill>
      <patternFill patternType="solid">
        <fgColor rgb="FFE8F8F5"/>
        <bgColor rgb="FFEBF5FB"/>
      </patternFill>
    </fill>
  </fills>
  <borders count="7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59">
    <xf numFmtId="0" fontId="0" fillId="0" borderId="0" xfId="0"/>
    <xf numFmtId="0" fontId="7" fillId="5" borderId="1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3" fillId="9" borderId="0" xfId="0" applyFont="1" applyFill="1" applyAlignment="1">
      <alignment horizontal="center" vertical="center"/>
    </xf>
    <xf numFmtId="0" fontId="43" fillId="12" borderId="0" xfId="0" applyFont="1" applyFill="1" applyAlignment="1">
      <alignment horizontal="center" vertical="center"/>
    </xf>
    <xf numFmtId="0" fontId="43" fillId="4" borderId="0" xfId="0" applyFont="1" applyFill="1" applyAlignment="1">
      <alignment horizontal="center" vertical="center"/>
    </xf>
    <xf numFmtId="0" fontId="49" fillId="11" borderId="0" xfId="0" applyFont="1" applyFill="1" applyAlignment="1">
      <alignment horizontal="center" vertical="center"/>
    </xf>
    <xf numFmtId="0" fontId="45" fillId="25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5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0" fillId="0" borderId="3" xfId="0" applyBorder="1"/>
    <xf numFmtId="0" fontId="14" fillId="10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right" vertical="center"/>
    </xf>
    <xf numFmtId="0" fontId="4" fillId="7" borderId="4" xfId="0" applyFont="1" applyFill="1" applyBorder="1" applyAlignment="1">
      <alignment horizontal="left" vertical="center"/>
    </xf>
    <xf numFmtId="0" fontId="22" fillId="0" borderId="0" xfId="0" applyFont="1"/>
    <xf numFmtId="0" fontId="23" fillId="11" borderId="4" xfId="0" applyFont="1" applyFill="1" applyBorder="1" applyAlignment="1">
      <alignment horizontal="left" vertical="center"/>
    </xf>
    <xf numFmtId="164" fontId="23" fillId="11" borderId="4" xfId="0" applyNumberFormat="1" applyFont="1" applyFill="1" applyBorder="1" applyAlignment="1">
      <alignment horizontal="left" vertical="center"/>
    </xf>
    <xf numFmtId="0" fontId="24" fillId="5" borderId="4" xfId="0" applyFont="1" applyFill="1" applyBorder="1" applyAlignment="1">
      <alignment horizontal="left" vertical="center" wrapText="1"/>
    </xf>
    <xf numFmtId="0" fontId="25" fillId="13" borderId="4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right" vertical="center"/>
    </xf>
    <xf numFmtId="165" fontId="9" fillId="6" borderId="4" xfId="0" applyNumberFormat="1" applyFont="1" applyFill="1" applyBorder="1" applyAlignment="1">
      <alignment horizontal="center" vertical="center"/>
    </xf>
    <xf numFmtId="165" fontId="27" fillId="6" borderId="4" xfId="0" applyNumberFormat="1" applyFont="1" applyFill="1" applyBorder="1" applyAlignment="1">
      <alignment horizontal="center" vertical="center"/>
    </xf>
    <xf numFmtId="165" fontId="7" fillId="6" borderId="4" xfId="0" applyNumberFormat="1" applyFont="1" applyFill="1" applyBorder="1" applyAlignment="1">
      <alignment horizontal="center" vertical="center"/>
    </xf>
    <xf numFmtId="165" fontId="4" fillId="6" borderId="4" xfId="0" applyNumberFormat="1" applyFont="1" applyFill="1" applyBorder="1" applyAlignment="1">
      <alignment horizontal="center" vertical="center"/>
    </xf>
    <xf numFmtId="165" fontId="11" fillId="6" borderId="4" xfId="0" applyNumberFormat="1" applyFont="1" applyFill="1" applyBorder="1" applyAlignment="1">
      <alignment horizontal="center" vertical="center"/>
    </xf>
    <xf numFmtId="165" fontId="28" fillId="6" borderId="4" xfId="0" applyNumberFormat="1" applyFont="1" applyFill="1" applyBorder="1" applyAlignment="1">
      <alignment horizontal="center" vertical="center"/>
    </xf>
    <xf numFmtId="0" fontId="29" fillId="10" borderId="0" xfId="0" applyFont="1" applyFill="1" applyAlignment="1">
      <alignment horizontal="center" vertical="center"/>
    </xf>
    <xf numFmtId="0" fontId="30" fillId="0" borderId="0" xfId="0" applyFont="1"/>
    <xf numFmtId="0" fontId="24" fillId="5" borderId="4" xfId="0" applyFont="1" applyFill="1" applyBorder="1" applyAlignment="1">
      <alignment horizontal="left" vertical="center"/>
    </xf>
    <xf numFmtId="0" fontId="26" fillId="6" borderId="4" xfId="0" applyFont="1" applyFill="1" applyBorder="1" applyAlignment="1">
      <alignment horizontal="left" vertical="center"/>
    </xf>
    <xf numFmtId="0" fontId="31" fillId="5" borderId="4" xfId="0" applyFont="1" applyFill="1" applyBorder="1" applyAlignment="1">
      <alignment horizontal="left" vertical="center"/>
    </xf>
    <xf numFmtId="0" fontId="26" fillId="7" borderId="4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2" fillId="5" borderId="4" xfId="0" applyFont="1" applyFill="1" applyBorder="1" applyAlignment="1">
      <alignment horizontal="left" vertical="center"/>
    </xf>
    <xf numFmtId="0" fontId="33" fillId="5" borderId="4" xfId="0" applyFont="1" applyFill="1" applyBorder="1" applyAlignment="1">
      <alignment horizontal="left" vertical="center"/>
    </xf>
    <xf numFmtId="0" fontId="34" fillId="5" borderId="4" xfId="0" applyFont="1" applyFill="1" applyBorder="1" applyAlignment="1">
      <alignment horizontal="left" vertical="center"/>
    </xf>
    <xf numFmtId="0" fontId="35" fillId="5" borderId="4" xfId="0" applyFont="1" applyFill="1" applyBorder="1" applyAlignment="1">
      <alignment horizontal="left" vertical="center"/>
    </xf>
    <xf numFmtId="0" fontId="36" fillId="5" borderId="4" xfId="0" applyFont="1" applyFill="1" applyBorder="1" applyAlignment="1">
      <alignment horizontal="left" vertical="center"/>
    </xf>
    <xf numFmtId="0" fontId="37" fillId="5" borderId="4" xfId="0" applyFont="1" applyFill="1" applyBorder="1" applyAlignment="1">
      <alignment horizontal="left" vertical="center"/>
    </xf>
    <xf numFmtId="0" fontId="38" fillId="5" borderId="4" xfId="0" applyFont="1" applyFill="1" applyBorder="1" applyAlignment="1">
      <alignment horizontal="left" vertical="center"/>
    </xf>
    <xf numFmtId="0" fontId="39" fillId="5" borderId="4" xfId="0" applyFont="1" applyFill="1" applyBorder="1" applyAlignment="1">
      <alignment horizontal="left" vertical="center"/>
    </xf>
    <xf numFmtId="0" fontId="0" fillId="5" borderId="4" xfId="0" applyFill="1" applyBorder="1"/>
    <xf numFmtId="0" fontId="40" fillId="7" borderId="4" xfId="0" applyFont="1" applyFill="1" applyBorder="1" applyAlignment="1">
      <alignment horizontal="left" vertical="center"/>
    </xf>
    <xf numFmtId="0" fontId="43" fillId="4" borderId="4" xfId="0" applyFont="1" applyFill="1" applyBorder="1" applyAlignment="1">
      <alignment horizontal="center" vertical="center" wrapText="1"/>
    </xf>
    <xf numFmtId="0" fontId="43" fillId="12" borderId="4" xfId="0" applyFont="1" applyFill="1" applyBorder="1" applyAlignment="1">
      <alignment horizontal="center" vertical="center" wrapText="1"/>
    </xf>
    <xf numFmtId="0" fontId="43" fillId="9" borderId="4" xfId="0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horizontal="left" vertical="center"/>
    </xf>
    <xf numFmtId="15" fontId="44" fillId="5" borderId="4" xfId="0" applyNumberFormat="1" applyFont="1" applyFill="1" applyBorder="1" applyAlignment="1">
      <alignment horizontal="center" vertical="center"/>
    </xf>
    <xf numFmtId="49" fontId="44" fillId="5" borderId="4" xfId="0" applyNumberFormat="1" applyFont="1" applyFill="1" applyBorder="1" applyAlignment="1">
      <alignment horizontal="left" vertical="center"/>
    </xf>
    <xf numFmtId="3" fontId="44" fillId="5" borderId="4" xfId="0" applyNumberFormat="1" applyFont="1" applyFill="1" applyBorder="1" applyAlignment="1">
      <alignment horizontal="right" vertical="center"/>
    </xf>
    <xf numFmtId="165" fontId="44" fillId="5" borderId="4" xfId="0" applyNumberFormat="1" applyFont="1" applyFill="1" applyBorder="1" applyAlignment="1">
      <alignment horizontal="center" vertical="center"/>
    </xf>
    <xf numFmtId="0" fontId="44" fillId="6" borderId="4" xfId="0" applyFont="1" applyFill="1" applyBorder="1" applyAlignment="1">
      <alignment horizontal="left" vertical="center"/>
    </xf>
    <xf numFmtId="15" fontId="44" fillId="6" borderId="4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left" vertical="center"/>
    </xf>
    <xf numFmtId="3" fontId="44" fillId="6" borderId="4" xfId="0" applyNumberFormat="1" applyFont="1" applyFill="1" applyBorder="1" applyAlignment="1">
      <alignment horizontal="right" vertical="center"/>
    </xf>
    <xf numFmtId="165" fontId="44" fillId="6" borderId="4" xfId="0" applyNumberFormat="1" applyFont="1" applyFill="1" applyBorder="1" applyAlignment="1">
      <alignment horizontal="center" vertical="center"/>
    </xf>
    <xf numFmtId="0" fontId="26" fillId="5" borderId="4" xfId="0" applyFont="1" applyFill="1" applyBorder="1"/>
    <xf numFmtId="0" fontId="26" fillId="6" borderId="4" xfId="0" applyFont="1" applyFill="1" applyBorder="1"/>
    <xf numFmtId="0" fontId="43" fillId="4" borderId="0" xfId="0" applyFont="1" applyFill="1" applyAlignment="1">
      <alignment horizontal="center" vertical="center" wrapText="1"/>
    </xf>
    <xf numFmtId="0" fontId="43" fillId="12" borderId="0" xfId="0" applyFont="1" applyFill="1" applyAlignment="1">
      <alignment horizontal="center" vertical="center" wrapText="1"/>
    </xf>
    <xf numFmtId="0" fontId="43" fillId="3" borderId="0" xfId="0" applyFont="1" applyFill="1" applyAlignment="1">
      <alignment horizontal="center" vertical="center"/>
    </xf>
    <xf numFmtId="0" fontId="43" fillId="2" borderId="4" xfId="0" applyFont="1" applyFill="1" applyBorder="1" applyAlignment="1">
      <alignment horizontal="center" vertical="center" wrapText="1"/>
    </xf>
    <xf numFmtId="0" fontId="43" fillId="14" borderId="4" xfId="0" applyFont="1" applyFill="1" applyBorder="1" applyAlignment="1">
      <alignment horizontal="center" vertical="center" wrapText="1"/>
    </xf>
    <xf numFmtId="0" fontId="43" fillId="8" borderId="4" xfId="0" applyFont="1" applyFill="1" applyBorder="1" applyAlignment="1">
      <alignment horizontal="center" vertical="center" wrapText="1"/>
    </xf>
    <xf numFmtId="0" fontId="43" fillId="15" borderId="4" xfId="0" applyFont="1" applyFill="1" applyBorder="1" applyAlignment="1">
      <alignment horizontal="center" vertical="center" wrapText="1"/>
    </xf>
    <xf numFmtId="0" fontId="43" fillId="3" borderId="4" xfId="0" applyFont="1" applyFill="1" applyBorder="1" applyAlignment="1">
      <alignment horizontal="center" vertical="center" wrapText="1"/>
    </xf>
    <xf numFmtId="0" fontId="46" fillId="16" borderId="4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left" vertical="center"/>
    </xf>
    <xf numFmtId="49" fontId="26" fillId="5" borderId="4" xfId="0" applyNumberFormat="1" applyFont="1" applyFill="1" applyBorder="1" applyAlignment="1">
      <alignment horizontal="left" vertical="center"/>
    </xf>
    <xf numFmtId="15" fontId="26" fillId="5" borderId="4" xfId="0" applyNumberFormat="1" applyFont="1" applyFill="1" applyBorder="1" applyAlignment="1">
      <alignment horizontal="center" vertical="center"/>
    </xf>
    <xf numFmtId="3" fontId="26" fillId="5" borderId="4" xfId="0" applyNumberFormat="1" applyFont="1" applyFill="1" applyBorder="1" applyAlignment="1">
      <alignment horizontal="right" vertical="center"/>
    </xf>
    <xf numFmtId="165" fontId="31" fillId="13" borderId="4" xfId="0" applyNumberFormat="1" applyFont="1" applyFill="1" applyBorder="1" applyAlignment="1">
      <alignment horizontal="center" vertical="center"/>
    </xf>
    <xf numFmtId="165" fontId="25" fillId="13" borderId="4" xfId="0" applyNumberFormat="1" applyFont="1" applyFill="1" applyBorder="1" applyAlignment="1">
      <alignment horizontal="center" vertical="center"/>
    </xf>
    <xf numFmtId="3" fontId="47" fillId="5" borderId="4" xfId="0" applyNumberFormat="1" applyFont="1" applyFill="1" applyBorder="1" applyAlignment="1">
      <alignment horizontal="right" vertical="center"/>
    </xf>
    <xf numFmtId="0" fontId="24" fillId="5" borderId="4" xfId="0" applyFont="1" applyFill="1" applyBorder="1" applyAlignment="1">
      <alignment horizontal="center" vertical="center"/>
    </xf>
    <xf numFmtId="0" fontId="44" fillId="17" borderId="4" xfId="0" applyFont="1" applyFill="1" applyBorder="1" applyAlignment="1">
      <alignment horizontal="left" vertical="center"/>
    </xf>
    <xf numFmtId="9" fontId="35" fillId="17" borderId="4" xfId="0" applyNumberFormat="1" applyFont="1" applyFill="1" applyBorder="1" applyAlignment="1">
      <alignment horizontal="center" vertical="center"/>
    </xf>
    <xf numFmtId="165" fontId="34" fillId="17" borderId="4" xfId="0" applyNumberFormat="1" applyFont="1" applyFill="1" applyBorder="1" applyAlignment="1">
      <alignment horizontal="center" vertical="center"/>
    </xf>
    <xf numFmtId="3" fontId="34" fillId="5" borderId="4" xfId="0" applyNumberFormat="1" applyFont="1" applyFill="1" applyBorder="1" applyAlignment="1">
      <alignment horizontal="right" vertical="center"/>
    </xf>
    <xf numFmtId="9" fontId="35" fillId="5" borderId="4" xfId="0" applyNumberFormat="1" applyFont="1" applyFill="1" applyBorder="1" applyAlignment="1">
      <alignment horizontal="center" vertical="center"/>
    </xf>
    <xf numFmtId="165" fontId="34" fillId="5" borderId="4" xfId="0" applyNumberFormat="1" applyFont="1" applyFill="1" applyBorder="1" applyAlignment="1">
      <alignment horizontal="center" vertical="center"/>
    </xf>
    <xf numFmtId="0" fontId="39" fillId="18" borderId="4" xfId="0" applyFont="1" applyFill="1" applyBorder="1" applyAlignment="1">
      <alignment horizontal="left" vertical="center"/>
    </xf>
    <xf numFmtId="3" fontId="39" fillId="18" borderId="4" xfId="0" applyNumberFormat="1" applyFont="1" applyFill="1" applyBorder="1" applyAlignment="1">
      <alignment horizontal="right" vertical="center"/>
    </xf>
    <xf numFmtId="0" fontId="33" fillId="19" borderId="4" xfId="0" applyFont="1" applyFill="1" applyBorder="1" applyAlignment="1">
      <alignment horizontal="left" vertical="center"/>
    </xf>
    <xf numFmtId="3" fontId="33" fillId="19" borderId="4" xfId="0" applyNumberFormat="1" applyFont="1" applyFill="1" applyBorder="1" applyAlignment="1">
      <alignment horizontal="right" vertical="center"/>
    </xf>
    <xf numFmtId="0" fontId="31" fillId="19" borderId="4" xfId="0" applyFont="1" applyFill="1" applyBorder="1" applyAlignment="1">
      <alignment horizontal="left" vertical="center"/>
    </xf>
    <xf numFmtId="3" fontId="31" fillId="5" borderId="4" xfId="0" applyNumberFormat="1" applyFont="1" applyFill="1" applyBorder="1" applyAlignment="1">
      <alignment horizontal="right" vertical="center"/>
    </xf>
    <xf numFmtId="0" fontId="44" fillId="7" borderId="4" xfId="0" applyFont="1" applyFill="1" applyBorder="1" applyAlignment="1">
      <alignment horizontal="left" vertical="center"/>
    </xf>
    <xf numFmtId="9" fontId="48" fillId="7" borderId="4" xfId="0" applyNumberFormat="1" applyFont="1" applyFill="1" applyBorder="1" applyAlignment="1">
      <alignment horizontal="center" vertical="center"/>
    </xf>
    <xf numFmtId="3" fontId="48" fillId="7" borderId="4" xfId="0" applyNumberFormat="1" applyFont="1" applyFill="1" applyBorder="1" applyAlignment="1">
      <alignment horizontal="right" vertical="center"/>
    </xf>
    <xf numFmtId="9" fontId="47" fillId="16" borderId="4" xfId="0" applyNumberFormat="1" applyFont="1" applyFill="1" applyBorder="1" applyAlignment="1">
      <alignment horizontal="center" vertical="center"/>
    </xf>
    <xf numFmtId="3" fontId="34" fillId="17" borderId="4" xfId="0" applyNumberFormat="1" applyFont="1" applyFill="1" applyBorder="1" applyAlignment="1">
      <alignment horizontal="right" vertical="center"/>
    </xf>
    <xf numFmtId="0" fontId="33" fillId="6" borderId="4" xfId="0" applyFont="1" applyFill="1" applyBorder="1" applyAlignment="1">
      <alignment horizontal="left" vertical="center"/>
    </xf>
    <xf numFmtId="49" fontId="26" fillId="6" borderId="4" xfId="0" applyNumberFormat="1" applyFont="1" applyFill="1" applyBorder="1" applyAlignment="1">
      <alignment horizontal="left" vertical="center"/>
    </xf>
    <xf numFmtId="15" fontId="26" fillId="6" borderId="4" xfId="0" applyNumberFormat="1" applyFont="1" applyFill="1" applyBorder="1" applyAlignment="1">
      <alignment horizontal="center" vertical="center"/>
    </xf>
    <xf numFmtId="3" fontId="26" fillId="6" borderId="4" xfId="0" applyNumberFormat="1" applyFont="1" applyFill="1" applyBorder="1" applyAlignment="1">
      <alignment horizontal="right" vertical="center"/>
    </xf>
    <xf numFmtId="165" fontId="31" fillId="20" borderId="4" xfId="0" applyNumberFormat="1" applyFont="1" applyFill="1" applyBorder="1" applyAlignment="1">
      <alignment horizontal="center" vertical="center"/>
    </xf>
    <xf numFmtId="165" fontId="25" fillId="20" borderId="4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right" vertical="center"/>
    </xf>
    <xf numFmtId="0" fontId="24" fillId="6" borderId="4" xfId="0" applyFont="1" applyFill="1" applyBorder="1" applyAlignment="1">
      <alignment horizontal="center" vertical="center"/>
    </xf>
    <xf numFmtId="0" fontId="44" fillId="21" borderId="4" xfId="0" applyFont="1" applyFill="1" applyBorder="1" applyAlignment="1">
      <alignment horizontal="left" vertical="center"/>
    </xf>
    <xf numFmtId="9" fontId="35" fillId="21" borderId="4" xfId="0" applyNumberFormat="1" applyFont="1" applyFill="1" applyBorder="1" applyAlignment="1">
      <alignment horizontal="center" vertical="center"/>
    </xf>
    <xf numFmtId="165" fontId="34" fillId="21" borderId="4" xfId="0" applyNumberFormat="1" applyFont="1" applyFill="1" applyBorder="1" applyAlignment="1">
      <alignment horizontal="center" vertical="center"/>
    </xf>
    <xf numFmtId="3" fontId="34" fillId="6" borderId="4" xfId="0" applyNumberFormat="1" applyFont="1" applyFill="1" applyBorder="1" applyAlignment="1">
      <alignment horizontal="right" vertical="center"/>
    </xf>
    <xf numFmtId="9" fontId="35" fillId="6" borderId="4" xfId="0" applyNumberFormat="1" applyFont="1" applyFill="1" applyBorder="1" applyAlignment="1">
      <alignment horizontal="center" vertical="center"/>
    </xf>
    <xf numFmtId="165" fontId="34" fillId="6" borderId="4" xfId="0" applyNumberFormat="1" applyFont="1" applyFill="1" applyBorder="1" applyAlignment="1">
      <alignment horizontal="center" vertical="center"/>
    </xf>
    <xf numFmtId="0" fontId="39" fillId="22" borderId="4" xfId="0" applyFont="1" applyFill="1" applyBorder="1" applyAlignment="1">
      <alignment horizontal="left" vertical="center"/>
    </xf>
    <xf numFmtId="3" fontId="39" fillId="22" borderId="4" xfId="0" applyNumberFormat="1" applyFont="1" applyFill="1" applyBorder="1" applyAlignment="1">
      <alignment horizontal="right" vertical="center"/>
    </xf>
    <xf numFmtId="3" fontId="33" fillId="23" borderId="4" xfId="0" applyNumberFormat="1" applyFont="1" applyFill="1" applyBorder="1" applyAlignment="1">
      <alignment horizontal="right" vertical="center"/>
    </xf>
    <xf numFmtId="0" fontId="31" fillId="23" borderId="4" xfId="0" applyFont="1" applyFill="1" applyBorder="1" applyAlignment="1">
      <alignment horizontal="left" vertical="center"/>
    </xf>
    <xf numFmtId="3" fontId="31" fillId="6" borderId="4" xfId="0" applyNumberFormat="1" applyFont="1" applyFill="1" applyBorder="1" applyAlignment="1">
      <alignment horizontal="right" vertical="center"/>
    </xf>
    <xf numFmtId="0" fontId="44" fillId="24" borderId="4" xfId="0" applyFont="1" applyFill="1" applyBorder="1" applyAlignment="1">
      <alignment horizontal="left" vertical="center"/>
    </xf>
    <xf numFmtId="9" fontId="48" fillId="24" borderId="4" xfId="0" applyNumberFormat="1" applyFont="1" applyFill="1" applyBorder="1" applyAlignment="1">
      <alignment horizontal="center" vertical="center"/>
    </xf>
    <xf numFmtId="3" fontId="48" fillId="24" borderId="4" xfId="0" applyNumberFormat="1" applyFont="1" applyFill="1" applyBorder="1" applyAlignment="1">
      <alignment horizontal="right" vertical="center"/>
    </xf>
    <xf numFmtId="3" fontId="34" fillId="21" borderId="4" xfId="0" applyNumberFormat="1" applyFont="1" applyFill="1" applyBorder="1" applyAlignment="1">
      <alignment horizontal="right" vertical="center"/>
    </xf>
    <xf numFmtId="0" fontId="33" fillId="23" borderId="4" xfId="0" applyFont="1" applyFill="1" applyBorder="1" applyAlignment="1">
      <alignment horizontal="left" vertical="center"/>
    </xf>
    <xf numFmtId="0" fontId="31" fillId="6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3" fontId="29" fillId="2" borderId="5" xfId="0" applyNumberFormat="1" applyFont="1" applyFill="1" applyBorder="1" applyAlignment="1">
      <alignment horizontal="right" vertical="center"/>
    </xf>
    <xf numFmtId="4" fontId="0" fillId="0" borderId="0" xfId="0" applyNumberFormat="1"/>
    <xf numFmtId="0" fontId="43" fillId="12" borderId="0" xfId="0" applyFont="1" applyFill="1" applyAlignment="1">
      <alignment horizontal="center" vertical="center"/>
    </xf>
    <xf numFmtId="0" fontId="37" fillId="26" borderId="4" xfId="0" applyFont="1" applyFill="1" applyBorder="1" applyAlignment="1">
      <alignment horizontal="left" vertical="center"/>
    </xf>
    <xf numFmtId="9" fontId="37" fillId="26" borderId="4" xfId="0" applyNumberFormat="1" applyFont="1" applyFill="1" applyBorder="1" applyAlignment="1">
      <alignment horizontal="center" vertical="center"/>
    </xf>
    <xf numFmtId="3" fontId="36" fillId="26" borderId="4" xfId="0" applyNumberFormat="1" applyFont="1" applyFill="1" applyBorder="1" applyAlignment="1">
      <alignment horizontal="right" vertical="center"/>
    </xf>
    <xf numFmtId="0" fontId="37" fillId="27" borderId="4" xfId="0" applyFont="1" applyFill="1" applyBorder="1" applyAlignment="1">
      <alignment horizontal="left" vertical="center"/>
    </xf>
    <xf numFmtId="9" fontId="37" fillId="27" borderId="4" xfId="0" applyNumberFormat="1" applyFont="1" applyFill="1" applyBorder="1" applyAlignment="1">
      <alignment horizontal="center" vertical="center"/>
    </xf>
    <xf numFmtId="3" fontId="36" fillId="27" borderId="4" xfId="0" applyNumberFormat="1" applyFont="1" applyFill="1" applyBorder="1" applyAlignment="1">
      <alignment horizontal="right" vertical="center"/>
    </xf>
    <xf numFmtId="3" fontId="21" fillId="5" borderId="4" xfId="0" applyNumberFormat="1" applyFont="1" applyFill="1" applyBorder="1" applyAlignment="1">
      <alignment horizontal="right" vertical="center"/>
    </xf>
    <xf numFmtId="3" fontId="21" fillId="6" borderId="4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right" vertical="center"/>
    </xf>
    <xf numFmtId="3" fontId="29" fillId="9" borderId="5" xfId="0" applyNumberFormat="1" applyFont="1" applyFill="1" applyBorder="1" applyAlignment="1">
      <alignment horizontal="right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50" fillId="5" borderId="4" xfId="0" applyFont="1" applyFill="1" applyBorder="1" applyAlignment="1">
      <alignment horizontal="left" vertical="center"/>
    </xf>
    <xf numFmtId="3" fontId="15" fillId="17" borderId="4" xfId="0" applyNumberFormat="1" applyFont="1" applyFill="1" applyBorder="1" applyAlignment="1">
      <alignment horizontal="right" vertical="center"/>
    </xf>
    <xf numFmtId="3" fontId="51" fillId="5" borderId="4" xfId="0" applyNumberFormat="1" applyFont="1" applyFill="1" applyBorder="1" applyAlignment="1">
      <alignment horizontal="right" vertical="center"/>
    </xf>
    <xf numFmtId="3" fontId="52" fillId="5" borderId="4" xfId="0" applyNumberFormat="1" applyFont="1" applyFill="1" applyBorder="1" applyAlignment="1">
      <alignment horizontal="right" vertical="center"/>
    </xf>
    <xf numFmtId="3" fontId="53" fillId="5" borderId="4" xfId="0" applyNumberFormat="1" applyFont="1" applyFill="1" applyBorder="1" applyAlignment="1">
      <alignment horizontal="right" vertical="center"/>
    </xf>
    <xf numFmtId="3" fontId="54" fillId="5" borderId="4" xfId="0" applyNumberFormat="1" applyFont="1" applyFill="1" applyBorder="1" applyAlignment="1">
      <alignment horizontal="right" vertical="center"/>
    </xf>
    <xf numFmtId="3" fontId="55" fillId="5" borderId="4" xfId="0" applyNumberFormat="1" applyFont="1" applyFill="1" applyBorder="1" applyAlignment="1">
      <alignment horizontal="right" vertical="center"/>
    </xf>
    <xf numFmtId="3" fontId="15" fillId="17" borderId="5" xfId="0" applyNumberFormat="1" applyFont="1" applyFill="1" applyBorder="1" applyAlignment="1">
      <alignment horizontal="right" vertical="center"/>
    </xf>
    <xf numFmtId="0" fontId="50" fillId="6" borderId="4" xfId="0" applyFont="1" applyFill="1" applyBorder="1" applyAlignment="1">
      <alignment horizontal="left" vertical="center"/>
    </xf>
    <xf numFmtId="3" fontId="15" fillId="21" borderId="4" xfId="0" applyNumberFormat="1" applyFont="1" applyFill="1" applyBorder="1" applyAlignment="1">
      <alignment horizontal="right" vertical="center"/>
    </xf>
    <xf numFmtId="3" fontId="51" fillId="6" borderId="4" xfId="0" applyNumberFormat="1" applyFont="1" applyFill="1" applyBorder="1" applyAlignment="1">
      <alignment horizontal="right" vertical="center"/>
    </xf>
    <xf numFmtId="3" fontId="52" fillId="6" borderId="4" xfId="0" applyNumberFormat="1" applyFont="1" applyFill="1" applyBorder="1" applyAlignment="1">
      <alignment horizontal="right" vertical="center"/>
    </xf>
    <xf numFmtId="3" fontId="53" fillId="6" borderId="4" xfId="0" applyNumberFormat="1" applyFont="1" applyFill="1" applyBorder="1" applyAlignment="1">
      <alignment horizontal="right" vertical="center"/>
    </xf>
    <xf numFmtId="3" fontId="54" fillId="6" borderId="4" xfId="0" applyNumberFormat="1" applyFont="1" applyFill="1" applyBorder="1" applyAlignment="1">
      <alignment horizontal="right" vertical="center"/>
    </xf>
    <xf numFmtId="3" fontId="55" fillId="6" borderId="4" xfId="0" applyNumberFormat="1" applyFont="1" applyFill="1" applyBorder="1" applyAlignment="1">
      <alignment horizontal="right" vertical="center"/>
    </xf>
    <xf numFmtId="3" fontId="15" fillId="21" borderId="5" xfId="0" applyNumberFormat="1" applyFont="1" applyFill="1" applyBorder="1" applyAlignment="1">
      <alignment horizontal="right" vertical="center"/>
    </xf>
    <xf numFmtId="0" fontId="56" fillId="0" borderId="0" xfId="0" applyFont="1"/>
    <xf numFmtId="0" fontId="18" fillId="0" borderId="0" xfId="0" applyFont="1" applyAlignment="1">
      <alignment horizontal="right" vertical="center"/>
    </xf>
    <xf numFmtId="3" fontId="57" fillId="2" borderId="5" xfId="0" applyNumberFormat="1" applyFont="1" applyFill="1" applyBorder="1" applyAlignment="1">
      <alignment horizontal="right" vertical="center"/>
    </xf>
    <xf numFmtId="3" fontId="58" fillId="0" borderId="0" xfId="0" applyNumberFormat="1" applyFont="1" applyAlignment="1">
      <alignment horizontal="left"/>
    </xf>
    <xf numFmtId="3" fontId="59" fillId="26" borderId="4" xfId="0" applyNumberFormat="1" applyFont="1" applyFill="1" applyBorder="1" applyAlignment="1">
      <alignment horizontal="right" vertical="center"/>
    </xf>
    <xf numFmtId="3" fontId="59" fillId="26" borderId="5" xfId="0" applyNumberFormat="1" applyFont="1" applyFill="1" applyBorder="1" applyAlignment="1">
      <alignment horizontal="right" vertical="center"/>
    </xf>
    <xf numFmtId="0" fontId="0" fillId="6" borderId="4" xfId="0" applyFill="1" applyBorder="1"/>
    <xf numFmtId="3" fontId="59" fillId="27" borderId="4" xfId="0" applyNumberFormat="1" applyFont="1" applyFill="1" applyBorder="1" applyAlignment="1">
      <alignment horizontal="right" vertical="center"/>
    </xf>
    <xf numFmtId="3" fontId="59" fillId="27" borderId="5" xfId="0" applyNumberFormat="1" applyFont="1" applyFill="1" applyBorder="1" applyAlignment="1">
      <alignment horizontal="right" vertical="center"/>
    </xf>
    <xf numFmtId="3" fontId="57" fillId="9" borderId="5" xfId="0" applyNumberFormat="1" applyFont="1" applyFill="1" applyBorder="1" applyAlignment="1">
      <alignment horizontal="right" vertical="center"/>
    </xf>
    <xf numFmtId="0" fontId="14" fillId="8" borderId="0" xfId="0" applyFont="1" applyFill="1" applyAlignment="1">
      <alignment horizontal="left" vertical="center"/>
    </xf>
    <xf numFmtId="3" fontId="51" fillId="19" borderId="4" xfId="0" applyNumberFormat="1" applyFont="1" applyFill="1" applyBorder="1" applyAlignment="1">
      <alignment horizontal="right" vertical="center"/>
    </xf>
    <xf numFmtId="3" fontId="60" fillId="19" borderId="5" xfId="0" applyNumberFormat="1" applyFont="1" applyFill="1" applyBorder="1" applyAlignment="1">
      <alignment horizontal="right" vertical="center"/>
    </xf>
    <xf numFmtId="0" fontId="61" fillId="6" borderId="4" xfId="0" applyFont="1" applyFill="1" applyBorder="1" applyAlignment="1">
      <alignment horizontal="left" vertical="center"/>
    </xf>
    <xf numFmtId="3" fontId="52" fillId="23" borderId="4" xfId="0" applyNumberFormat="1" applyFont="1" applyFill="1" applyBorder="1" applyAlignment="1">
      <alignment horizontal="right" vertical="center"/>
    </xf>
    <xf numFmtId="3" fontId="60" fillId="23" borderId="5" xfId="0" applyNumberFormat="1" applyFont="1" applyFill="1" applyBorder="1" applyAlignment="1">
      <alignment horizontal="right" vertical="center"/>
    </xf>
    <xf numFmtId="3" fontId="53" fillId="19" borderId="4" xfId="0" applyNumberFormat="1" applyFont="1" applyFill="1" applyBorder="1" applyAlignment="1">
      <alignment horizontal="right" vertical="center"/>
    </xf>
    <xf numFmtId="0" fontId="62" fillId="2" borderId="5" xfId="0" applyFont="1" applyFill="1" applyBorder="1" applyAlignment="1">
      <alignment horizontal="right" vertical="center"/>
    </xf>
    <xf numFmtId="3" fontId="62" fillId="2" borderId="5" xfId="0" applyNumberFormat="1" applyFont="1" applyFill="1" applyBorder="1" applyAlignment="1">
      <alignment horizontal="right" vertical="center"/>
    </xf>
    <xf numFmtId="0" fontId="63" fillId="7" borderId="4" xfId="0" applyFont="1" applyFill="1" applyBorder="1" applyAlignment="1">
      <alignment horizontal="left" vertical="center"/>
    </xf>
    <xf numFmtId="0" fontId="43" fillId="10" borderId="4" xfId="0" applyFont="1" applyFill="1" applyBorder="1" applyAlignment="1">
      <alignment horizontal="center" vertical="center" wrapText="1"/>
    </xf>
    <xf numFmtId="0" fontId="64" fillId="5" borderId="4" xfId="0" applyFont="1" applyFill="1" applyBorder="1" applyAlignment="1">
      <alignment horizontal="left" vertical="center"/>
    </xf>
    <xf numFmtId="15" fontId="65" fillId="5" borderId="4" xfId="0" applyNumberFormat="1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165" fontId="66" fillId="13" borderId="4" xfId="0" applyNumberFormat="1" applyFont="1" applyFill="1" applyBorder="1" applyAlignment="1">
      <alignment horizontal="center" vertical="center"/>
    </xf>
    <xf numFmtId="3" fontId="50" fillId="5" borderId="4" xfId="0" applyNumberFormat="1" applyFont="1" applyFill="1" applyBorder="1" applyAlignment="1">
      <alignment horizontal="right" vertical="center"/>
    </xf>
    <xf numFmtId="165" fontId="15" fillId="5" borderId="4" xfId="0" applyNumberFormat="1" applyFont="1" applyFill="1" applyBorder="1" applyAlignment="1">
      <alignment horizontal="center" vertical="center"/>
    </xf>
    <xf numFmtId="3" fontId="15" fillId="5" borderId="4" xfId="0" applyNumberFormat="1" applyFont="1" applyFill="1" applyBorder="1" applyAlignment="1">
      <alignment horizontal="right" vertical="center"/>
    </xf>
    <xf numFmtId="0" fontId="17" fillId="5" borderId="4" xfId="0" applyFont="1" applyFill="1" applyBorder="1" applyAlignment="1">
      <alignment horizontal="left" vertical="center"/>
    </xf>
    <xf numFmtId="0" fontId="64" fillId="6" borderId="4" xfId="0" applyFont="1" applyFill="1" applyBorder="1" applyAlignment="1">
      <alignment horizontal="left" vertical="center"/>
    </xf>
    <xf numFmtId="15" fontId="65" fillId="6" borderId="4" xfId="0" applyNumberFormat="1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165" fontId="66" fillId="20" borderId="4" xfId="0" applyNumberFormat="1" applyFont="1" applyFill="1" applyBorder="1" applyAlignment="1">
      <alignment horizontal="center" vertical="center"/>
    </xf>
    <xf numFmtId="3" fontId="50" fillId="6" borderId="4" xfId="0" applyNumberFormat="1" applyFont="1" applyFill="1" applyBorder="1" applyAlignment="1">
      <alignment horizontal="right" vertical="center"/>
    </xf>
    <xf numFmtId="165" fontId="15" fillId="6" borderId="4" xfId="0" applyNumberFormat="1" applyFont="1" applyFill="1" applyBorder="1" applyAlignment="1">
      <alignment horizontal="center" vertical="center"/>
    </xf>
    <xf numFmtId="3" fontId="15" fillId="6" borderId="4" xfId="0" applyNumberFormat="1" applyFont="1" applyFill="1" applyBorder="1" applyAlignment="1">
      <alignment horizontal="right" vertical="center"/>
    </xf>
    <xf numFmtId="0" fontId="17" fillId="6" borderId="4" xfId="0" applyFont="1" applyFill="1" applyBorder="1" applyAlignment="1">
      <alignment horizontal="left" vertical="center"/>
    </xf>
    <xf numFmtId="0" fontId="26" fillId="6" borderId="4" xfId="0" applyFont="1" applyFill="1" applyBorder="1" applyAlignment="1">
      <alignment horizontal="right" vertical="center"/>
    </xf>
    <xf numFmtId="3" fontId="52" fillId="19" borderId="4" xfId="0" applyNumberFormat="1" applyFont="1" applyFill="1" applyBorder="1" applyAlignment="1">
      <alignment horizontal="right" vertical="center"/>
    </xf>
    <xf numFmtId="3" fontId="67" fillId="2" borderId="5" xfId="0" applyNumberFormat="1" applyFont="1" applyFill="1" applyBorder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9" fillId="0" borderId="0" xfId="0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0" fontId="64" fillId="0" borderId="0" xfId="0" applyFont="1" applyAlignment="1">
      <alignment horizontal="left" vertical="center"/>
    </xf>
    <xf numFmtId="15" fontId="6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5" fontId="66" fillId="0" borderId="0" xfId="0" applyNumberFormat="1" applyFont="1" applyAlignment="1">
      <alignment horizontal="center" vertical="center"/>
    </xf>
    <xf numFmtId="3" fontId="50" fillId="0" borderId="0" xfId="0" applyNumberFormat="1" applyFont="1" applyAlignment="1">
      <alignment horizontal="right" vertical="center"/>
    </xf>
    <xf numFmtId="165" fontId="60" fillId="0" borderId="0" xfId="0" applyNumberFormat="1" applyFont="1" applyAlignment="1">
      <alignment horizontal="center" vertical="center"/>
    </xf>
    <xf numFmtId="3" fontId="60" fillId="0" borderId="0" xfId="0" applyNumberFormat="1" applyFont="1" applyAlignment="1">
      <alignment horizontal="right" vertical="center"/>
    </xf>
    <xf numFmtId="3" fontId="17" fillId="0" borderId="0" xfId="0" applyNumberFormat="1" applyFont="1" applyAlignment="1">
      <alignment horizontal="left" vertical="center"/>
    </xf>
    <xf numFmtId="0" fontId="61" fillId="0" borderId="0" xfId="0" applyFont="1" applyAlignment="1">
      <alignment horizontal="right" vertical="center"/>
    </xf>
    <xf numFmtId="0" fontId="62" fillId="0" borderId="0" xfId="0" applyFont="1" applyAlignment="1">
      <alignment horizontal="right" vertical="center"/>
    </xf>
    <xf numFmtId="3" fontId="67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0" fillId="0" borderId="0" xfId="0"/>
    <xf numFmtId="0" fontId="19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2" fillId="7" borderId="0" xfId="0" applyFont="1" applyFill="1" applyAlignment="1">
      <alignment horizontal="left" vertical="center"/>
    </xf>
    <xf numFmtId="0" fontId="45" fillId="3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43" fillId="4" borderId="0" xfId="0" applyFont="1" applyFill="1" applyAlignment="1">
      <alignment horizontal="center" vertical="center" wrapText="1"/>
    </xf>
    <xf numFmtId="0" fontId="43" fillId="1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43" fillId="14" borderId="0" xfId="0" applyFont="1" applyFill="1" applyAlignment="1">
      <alignment horizontal="center" vertical="center" wrapText="1"/>
    </xf>
    <xf numFmtId="0" fontId="43" fillId="8" borderId="0" xfId="0" applyFont="1" applyFill="1" applyAlignment="1">
      <alignment horizontal="center" vertical="center" wrapText="1"/>
    </xf>
    <xf numFmtId="0" fontId="43" fillId="15" borderId="0" xfId="0" applyFont="1" applyFill="1" applyAlignment="1">
      <alignment horizontal="center" vertical="center" wrapText="1"/>
    </xf>
    <xf numFmtId="0" fontId="43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right" vertical="center"/>
    </xf>
    <xf numFmtId="0" fontId="40" fillId="7" borderId="0" xfId="0" applyFont="1" applyFill="1" applyAlignment="1">
      <alignment horizontal="left" vertical="center"/>
    </xf>
    <xf numFmtId="0" fontId="44" fillId="5" borderId="4" xfId="0" applyFont="1" applyFill="1" applyBorder="1" applyAlignment="1">
      <alignment horizontal="right" vertical="center"/>
    </xf>
    <xf numFmtId="0" fontId="65" fillId="5" borderId="4" xfId="0" applyFont="1" applyFill="1" applyBorder="1" applyAlignment="1">
      <alignment horizontal="right" vertical="center"/>
    </xf>
    <xf numFmtId="0" fontId="57" fillId="2" borderId="5" xfId="0" applyFont="1" applyFill="1" applyBorder="1" applyAlignment="1">
      <alignment horizontal="right" vertical="center"/>
    </xf>
    <xf numFmtId="0" fontId="68" fillId="7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b/>
        <sz val="9"/>
        <color rgb="FFE67E22"/>
        <name val="Calibri"/>
        <charset val="1"/>
      </font>
      <fill>
        <patternFill>
          <bgColor rgb="FFFEF9E7"/>
        </patternFill>
      </fill>
    </dxf>
    <dxf>
      <font>
        <b/>
        <sz val="9"/>
        <color rgb="FF1E8449"/>
        <name val="Calibri"/>
        <charset val="1"/>
      </font>
      <fill>
        <patternFill>
          <bgColor rgb="FFD5F5E3"/>
        </patternFill>
      </fill>
    </dxf>
    <dxf>
      <font>
        <b/>
        <sz val="9"/>
        <color rgb="FFC0392B"/>
        <name val="Calibri"/>
        <charset val="1"/>
      </font>
      <fill>
        <patternFill>
          <bgColor rgb="FFFADBD8"/>
        </patternFill>
      </fill>
    </dxf>
    <dxf>
      <font>
        <b/>
        <sz val="9"/>
        <color rgb="FFE67E22"/>
        <name val="Calibri"/>
        <charset val="1"/>
      </font>
      <fill>
        <patternFill>
          <bgColor rgb="FFFEF9E7"/>
        </patternFill>
      </fill>
    </dxf>
    <dxf>
      <font>
        <b/>
        <sz val="9"/>
        <color rgb="FF1E8449"/>
        <name val="Calibri"/>
        <charset val="1"/>
      </font>
      <fill>
        <patternFill>
          <bgColor rgb="FFD5F5E3"/>
        </patternFill>
      </fill>
    </dxf>
    <dxf>
      <font>
        <b/>
        <sz val="9"/>
        <color rgb="FFC0392B"/>
        <name val="Calibri"/>
        <charset val="1"/>
      </font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0E6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CCCCCC"/>
      <rgbColor rgb="FF888888"/>
      <rgbColor rgb="FFF5EEF8"/>
      <rgbColor rgb="FF6C3483"/>
      <rgbColor rgb="FFFFFDE7"/>
      <rgbColor rgb="FFD1F2EB"/>
      <rgbColor rgb="FF660066"/>
      <rgbColor rgb="FFC0504D"/>
      <rgbColor rgb="FF2471A3"/>
      <rgbColor rgb="FFE8DAEF"/>
      <rgbColor rgb="FF000080"/>
      <rgbColor rgb="FFFF00FF"/>
      <rgbColor rgb="FFEEEEEE"/>
      <rgbColor rgb="FF00FFFF"/>
      <rgbColor rgb="FF800080"/>
      <rgbColor rgb="FF800000"/>
      <rgbColor rgb="FF0E6655"/>
      <rgbColor rgb="FF0000FF"/>
      <rgbColor rgb="FF00CCFF"/>
      <rgbColor rgb="FFE8F8F5"/>
      <rgbColor rgb="FFD5F5E3"/>
      <rgbColor rgb="FFFEF9E7"/>
      <rgbColor rgb="FFD6EAF8"/>
      <rgbColor rgb="FFFAE5D3"/>
      <rgbColor rgb="FFDDDDDD"/>
      <rgbColor rgb="FFFADBD8"/>
      <rgbColor rgb="FF3366FF"/>
      <rgbColor rgb="FFFDFEFE"/>
      <rgbColor rgb="FFEBF5FB"/>
      <rgbColor rgb="FFF2F3F4"/>
      <rgbColor rgb="FFF39C12"/>
      <rgbColor rgb="FFE67E22"/>
      <rgbColor rgb="FF566573"/>
      <rgbColor rgb="FF999999"/>
      <rgbColor rgb="FF003366"/>
      <rgbColor rgb="FF1E8449"/>
      <rgbColor rgb="FF003300"/>
      <rgbColor rgb="FF1C1C1C"/>
      <rgbColor rgb="FF922B21"/>
      <rgbColor rgb="FFC0392B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showGridLines="0" topLeftCell="A54" zoomScale="120" zoomScaleNormal="120" workbookViewId="0">
      <selection activeCell="B66" sqref="B66"/>
    </sheetView>
  </sheetViews>
  <sheetFormatPr defaultColWidth="8.6640625" defaultRowHeight="14.25" x14ac:dyDescent="0.45"/>
  <cols>
    <col min="1" max="1" width="4" customWidth="1"/>
    <col min="2" max="2" width="28" customWidth="1"/>
    <col min="3" max="3" width="22" customWidth="1"/>
    <col min="4" max="5" width="44" customWidth="1"/>
  </cols>
  <sheetData>
    <row r="1" spans="1:5" ht="37.5" customHeight="1" x14ac:dyDescent="0.45">
      <c r="A1" s="8" t="s">
        <v>0</v>
      </c>
      <c r="B1" s="8"/>
      <c r="C1" s="8"/>
      <c r="D1" s="8"/>
      <c r="E1" s="8"/>
    </row>
    <row r="2" spans="1:5" ht="19.5" customHeight="1" x14ac:dyDescent="0.45">
      <c r="A2" s="7" t="s">
        <v>1</v>
      </c>
      <c r="B2" s="7"/>
      <c r="C2" s="7"/>
      <c r="D2" s="7"/>
      <c r="E2" s="7"/>
    </row>
    <row r="3" spans="1:5" ht="12" customHeight="1" x14ac:dyDescent="0.45"/>
    <row r="4" spans="1:5" ht="25.5" customHeight="1" x14ac:dyDescent="0.45">
      <c r="A4" s="6" t="s">
        <v>2</v>
      </c>
      <c r="B4" s="6"/>
      <c r="C4" s="6"/>
      <c r="D4" s="6"/>
      <c r="E4" s="6"/>
    </row>
    <row r="5" spans="1:5" ht="21.75" customHeight="1" x14ac:dyDescent="0.45">
      <c r="B5" s="5" t="s">
        <v>3</v>
      </c>
      <c r="C5" s="5"/>
      <c r="D5" s="5" t="s">
        <v>4</v>
      </c>
      <c r="E5" s="5"/>
    </row>
    <row r="6" spans="1:5" ht="21.75" customHeight="1" x14ac:dyDescent="0.45">
      <c r="B6" s="15" t="s">
        <v>5</v>
      </c>
      <c r="C6" s="4" t="s">
        <v>6</v>
      </c>
      <c r="D6" s="4"/>
      <c r="E6" s="4"/>
    </row>
    <row r="7" spans="1:5" ht="21.75" customHeight="1" x14ac:dyDescent="0.45">
      <c r="B7" s="15" t="s">
        <v>7</v>
      </c>
      <c r="C7" s="4" t="s">
        <v>8</v>
      </c>
      <c r="D7" s="4"/>
      <c r="E7" s="4"/>
    </row>
    <row r="8" spans="1:5" ht="21.75" customHeight="1" x14ac:dyDescent="0.45">
      <c r="B8" s="15" t="s">
        <v>9</v>
      </c>
      <c r="C8" s="4" t="s">
        <v>10</v>
      </c>
      <c r="D8" s="4"/>
      <c r="E8" s="4"/>
    </row>
    <row r="9" spans="1:5" ht="21.75" customHeight="1" x14ac:dyDescent="0.45">
      <c r="B9" s="15" t="s">
        <v>11</v>
      </c>
      <c r="C9" s="4" t="s">
        <v>12</v>
      </c>
      <c r="D9" s="4"/>
      <c r="E9" s="4"/>
    </row>
    <row r="10" spans="1:5" ht="21.75" customHeight="1" x14ac:dyDescent="0.45">
      <c r="B10" s="15" t="s">
        <v>13</v>
      </c>
      <c r="C10" s="4" t="s">
        <v>14</v>
      </c>
      <c r="D10" s="4"/>
      <c r="E10" s="4"/>
    </row>
    <row r="11" spans="1:5" ht="19.5" customHeight="1" x14ac:dyDescent="0.45">
      <c r="B11" s="3" t="s">
        <v>15</v>
      </c>
      <c r="C11" s="3"/>
      <c r="D11" s="3"/>
      <c r="E11" s="3"/>
    </row>
    <row r="12" spans="1:5" ht="7.5" customHeight="1" x14ac:dyDescent="0.45"/>
    <row r="13" spans="1:5" ht="25.5" customHeight="1" x14ac:dyDescent="0.45">
      <c r="A13" s="2" t="s">
        <v>16</v>
      </c>
      <c r="B13" s="2"/>
      <c r="C13" s="2"/>
      <c r="D13" s="2"/>
      <c r="E13" s="2"/>
    </row>
    <row r="14" spans="1:5" ht="21.75" customHeight="1" x14ac:dyDescent="0.45">
      <c r="B14" s="1" t="s">
        <v>17</v>
      </c>
      <c r="C14" s="1"/>
      <c r="D14" s="1" t="s">
        <v>18</v>
      </c>
      <c r="E14" s="1"/>
    </row>
    <row r="15" spans="1:5" ht="21.75" customHeight="1" x14ac:dyDescent="0.45">
      <c r="B15" s="16" t="s">
        <v>5</v>
      </c>
      <c r="C15" s="4" t="s">
        <v>19</v>
      </c>
      <c r="D15" s="4"/>
      <c r="E15" s="4"/>
    </row>
    <row r="16" spans="1:5" ht="21.75" customHeight="1" x14ac:dyDescent="0.45">
      <c r="B16" s="16" t="s">
        <v>7</v>
      </c>
      <c r="C16" s="4" t="s">
        <v>20</v>
      </c>
      <c r="D16" s="4"/>
      <c r="E16" s="4"/>
    </row>
    <row r="17" spans="1:5" ht="21.75" customHeight="1" x14ac:dyDescent="0.45">
      <c r="B17" s="16" t="s">
        <v>9</v>
      </c>
      <c r="C17" s="4" t="s">
        <v>21</v>
      </c>
      <c r="D17" s="4"/>
      <c r="E17" s="4"/>
    </row>
    <row r="18" spans="1:5" ht="21.75" customHeight="1" x14ac:dyDescent="0.45">
      <c r="B18" s="16" t="s">
        <v>11</v>
      </c>
      <c r="C18" s="4" t="s">
        <v>22</v>
      </c>
      <c r="D18" s="4"/>
      <c r="E18" s="4"/>
    </row>
    <row r="19" spans="1:5" ht="21.75" customHeight="1" x14ac:dyDescent="0.45">
      <c r="B19" s="16" t="s">
        <v>13</v>
      </c>
      <c r="C19" s="4" t="s">
        <v>14</v>
      </c>
      <c r="D19" s="4"/>
      <c r="E19" s="4"/>
    </row>
    <row r="20" spans="1:5" ht="19.5" customHeight="1" x14ac:dyDescent="0.45">
      <c r="B20" s="225" t="s">
        <v>23</v>
      </c>
      <c r="C20" s="225"/>
      <c r="D20" s="225"/>
      <c r="E20" s="225"/>
    </row>
    <row r="21" spans="1:5" ht="7.5" customHeight="1" x14ac:dyDescent="0.45"/>
    <row r="22" spans="1:5" ht="25.5" customHeight="1" x14ac:dyDescent="0.45">
      <c r="A22" s="226" t="s">
        <v>24</v>
      </c>
      <c r="B22" s="226"/>
      <c r="C22" s="226"/>
      <c r="D22" s="226"/>
      <c r="E22" s="226"/>
    </row>
    <row r="23" spans="1:5" ht="21.75" customHeight="1" x14ac:dyDescent="0.45">
      <c r="B23" s="227" t="s">
        <v>25</v>
      </c>
      <c r="C23" s="227"/>
      <c r="D23" s="227" t="s">
        <v>26</v>
      </c>
      <c r="E23" s="227"/>
    </row>
    <row r="24" spans="1:5" ht="21.75" customHeight="1" x14ac:dyDescent="0.45">
      <c r="B24" s="17" t="s">
        <v>5</v>
      </c>
      <c r="C24" s="4" t="s">
        <v>27</v>
      </c>
      <c r="D24" s="4"/>
      <c r="E24" s="4"/>
    </row>
    <row r="25" spans="1:5" ht="21.75" customHeight="1" x14ac:dyDescent="0.45">
      <c r="B25" s="17" t="s">
        <v>7</v>
      </c>
      <c r="C25" s="4" t="s">
        <v>28</v>
      </c>
      <c r="D25" s="4"/>
      <c r="E25" s="4"/>
    </row>
    <row r="26" spans="1:5" ht="21.75" customHeight="1" x14ac:dyDescent="0.45">
      <c r="B26" s="17" t="s">
        <v>9</v>
      </c>
      <c r="C26" s="4" t="s">
        <v>29</v>
      </c>
      <c r="D26" s="4"/>
      <c r="E26" s="4"/>
    </row>
    <row r="27" spans="1:5" ht="21.75" customHeight="1" x14ac:dyDescent="0.45">
      <c r="B27" s="17" t="s">
        <v>11</v>
      </c>
      <c r="C27" s="4" t="s">
        <v>30</v>
      </c>
      <c r="D27" s="4"/>
      <c r="E27" s="4"/>
    </row>
    <row r="28" spans="1:5" ht="21.75" customHeight="1" x14ac:dyDescent="0.45">
      <c r="B28" s="17" t="s">
        <v>13</v>
      </c>
      <c r="C28" s="4" t="s">
        <v>31</v>
      </c>
      <c r="D28" s="4"/>
      <c r="E28" s="4"/>
    </row>
    <row r="29" spans="1:5" ht="21.75" customHeight="1" x14ac:dyDescent="0.45">
      <c r="B29" s="17" t="s">
        <v>32</v>
      </c>
      <c r="C29" s="4" t="s">
        <v>33</v>
      </c>
      <c r="D29" s="4"/>
      <c r="E29" s="4"/>
    </row>
    <row r="30" spans="1:5" ht="21.75" customHeight="1" x14ac:dyDescent="0.45">
      <c r="B30" s="17" t="s">
        <v>34</v>
      </c>
      <c r="C30" s="4" t="s">
        <v>35</v>
      </c>
      <c r="D30" s="4"/>
      <c r="E30" s="4"/>
    </row>
    <row r="31" spans="1:5" ht="21.75" customHeight="1" x14ac:dyDescent="0.45">
      <c r="B31" s="17" t="s">
        <v>36</v>
      </c>
      <c r="C31" s="4" t="s">
        <v>37</v>
      </c>
      <c r="D31" s="4"/>
      <c r="E31" s="4"/>
    </row>
    <row r="32" spans="1:5" ht="19.5" customHeight="1" x14ac:dyDescent="0.45">
      <c r="B32" s="228" t="s">
        <v>38</v>
      </c>
      <c r="C32" s="228"/>
      <c r="D32" s="228"/>
      <c r="E32" s="228"/>
    </row>
    <row r="33" spans="1:5" ht="7.5" customHeight="1" x14ac:dyDescent="0.45"/>
    <row r="34" spans="1:5" ht="25.5" customHeight="1" x14ac:dyDescent="0.45">
      <c r="A34" s="229" t="s">
        <v>39</v>
      </c>
      <c r="B34" s="229"/>
      <c r="C34" s="229"/>
      <c r="D34" s="229"/>
      <c r="E34" s="229"/>
    </row>
    <row r="35" spans="1:5" ht="21.75" customHeight="1" x14ac:dyDescent="0.45">
      <c r="B35" s="230" t="s">
        <v>40</v>
      </c>
      <c r="C35" s="230"/>
      <c r="D35" s="230" t="s">
        <v>41</v>
      </c>
      <c r="E35" s="230"/>
    </row>
    <row r="36" spans="1:5" ht="21.75" customHeight="1" x14ac:dyDescent="0.45">
      <c r="B36" s="18" t="s">
        <v>5</v>
      </c>
      <c r="C36" s="4" t="s">
        <v>42</v>
      </c>
      <c r="D36" s="4"/>
      <c r="E36" s="4"/>
    </row>
    <row r="37" spans="1:5" ht="21.75" customHeight="1" x14ac:dyDescent="0.45">
      <c r="B37" s="18" t="s">
        <v>7</v>
      </c>
      <c r="C37" s="4" t="s">
        <v>43</v>
      </c>
      <c r="D37" s="4"/>
      <c r="E37" s="4"/>
    </row>
    <row r="38" spans="1:5" ht="21.75" customHeight="1" x14ac:dyDescent="0.45">
      <c r="B38" s="18" t="s">
        <v>9</v>
      </c>
      <c r="C38" s="4" t="s">
        <v>44</v>
      </c>
      <c r="D38" s="4"/>
      <c r="E38" s="4"/>
    </row>
    <row r="39" spans="1:5" ht="21.75" customHeight="1" x14ac:dyDescent="0.45">
      <c r="B39" s="18" t="s">
        <v>11</v>
      </c>
      <c r="C39" s="4" t="s">
        <v>45</v>
      </c>
      <c r="D39" s="4"/>
      <c r="E39" s="4"/>
    </row>
    <row r="40" spans="1:5" ht="21.75" customHeight="1" x14ac:dyDescent="0.45">
      <c r="B40" s="18" t="s">
        <v>13</v>
      </c>
      <c r="C40" s="4" t="s">
        <v>46</v>
      </c>
      <c r="D40" s="4"/>
      <c r="E40" s="4"/>
    </row>
    <row r="41" spans="1:5" ht="21.75" customHeight="1" x14ac:dyDescent="0.45">
      <c r="B41" s="18" t="s">
        <v>32</v>
      </c>
      <c r="C41" s="4" t="s">
        <v>47</v>
      </c>
      <c r="D41" s="4"/>
      <c r="E41" s="4"/>
    </row>
    <row r="42" spans="1:5" ht="19.5" customHeight="1" x14ac:dyDescent="0.45">
      <c r="B42" s="231" t="s">
        <v>48</v>
      </c>
      <c r="C42" s="231"/>
      <c r="D42" s="231"/>
      <c r="E42" s="231"/>
    </row>
    <row r="43" spans="1:5" ht="25.5" customHeight="1" x14ac:dyDescent="0.45">
      <c r="A43" s="232" t="s">
        <v>49</v>
      </c>
      <c r="B43" s="232"/>
      <c r="C43" s="232"/>
      <c r="D43" s="232"/>
      <c r="E43" s="232"/>
    </row>
    <row r="44" spans="1:5" ht="21.75" customHeight="1" x14ac:dyDescent="0.45">
      <c r="B44" s="233" t="s">
        <v>25</v>
      </c>
      <c r="C44" s="233"/>
      <c r="D44" s="233" t="s">
        <v>50</v>
      </c>
      <c r="E44" s="233"/>
    </row>
    <row r="45" spans="1:5" ht="21.75" customHeight="1" x14ac:dyDescent="0.45">
      <c r="B45" s="19" t="s">
        <v>5</v>
      </c>
      <c r="C45" s="4" t="s">
        <v>51</v>
      </c>
      <c r="D45" s="4"/>
      <c r="E45" s="4"/>
    </row>
    <row r="46" spans="1:5" ht="21.75" customHeight="1" x14ac:dyDescent="0.45">
      <c r="B46" s="19" t="s">
        <v>7</v>
      </c>
      <c r="C46" s="4" t="s">
        <v>52</v>
      </c>
      <c r="D46" s="4"/>
      <c r="E46" s="4"/>
    </row>
    <row r="47" spans="1:5" ht="21.75" customHeight="1" x14ac:dyDescent="0.45">
      <c r="B47" s="19" t="s">
        <v>9</v>
      </c>
      <c r="C47" s="4" t="s">
        <v>53</v>
      </c>
      <c r="D47" s="4"/>
      <c r="E47" s="4"/>
    </row>
    <row r="48" spans="1:5" ht="21.75" customHeight="1" x14ac:dyDescent="0.45">
      <c r="B48" s="19" t="s">
        <v>11</v>
      </c>
      <c r="C48" s="4" t="s">
        <v>54</v>
      </c>
      <c r="D48" s="4"/>
      <c r="E48" s="4"/>
    </row>
    <row r="49" spans="1:5" ht="9.75" customHeight="1" x14ac:dyDescent="0.45"/>
    <row r="50" spans="1:5" ht="24" customHeight="1" x14ac:dyDescent="0.45">
      <c r="A50" s="234" t="s">
        <v>55</v>
      </c>
      <c r="B50" s="234"/>
      <c r="C50" s="234"/>
      <c r="D50" s="234"/>
      <c r="E50" s="234"/>
    </row>
    <row r="51" spans="1:5" ht="19.5" customHeight="1" x14ac:dyDescent="0.45">
      <c r="B51" s="20" t="s">
        <v>56</v>
      </c>
      <c r="C51" s="20" t="s">
        <v>57</v>
      </c>
      <c r="D51" s="20" t="s">
        <v>58</v>
      </c>
    </row>
    <row r="52" spans="1:5" ht="22.5" customHeight="1" x14ac:dyDescent="0.45">
      <c r="B52" s="21" t="s">
        <v>59</v>
      </c>
      <c r="C52" s="22" t="s">
        <v>60</v>
      </c>
      <c r="D52" s="23" t="s">
        <v>61</v>
      </c>
    </row>
    <row r="53" spans="1:5" ht="22.5" customHeight="1" x14ac:dyDescent="0.45">
      <c r="B53" s="24" t="s">
        <v>62</v>
      </c>
      <c r="C53" s="25" t="s">
        <v>63</v>
      </c>
      <c r="D53" s="26" t="s">
        <v>64</v>
      </c>
      <c r="E53" s="27"/>
    </row>
    <row r="54" spans="1:5" ht="22.5" customHeight="1" x14ac:dyDescent="0.45">
      <c r="B54" s="24" t="s">
        <v>65</v>
      </c>
      <c r="C54" s="25" t="s">
        <v>66</v>
      </c>
      <c r="D54" s="26" t="s">
        <v>67</v>
      </c>
      <c r="E54" s="27"/>
    </row>
    <row r="55" spans="1:5" ht="22.5" customHeight="1" x14ac:dyDescent="0.45">
      <c r="B55" s="24" t="s">
        <v>68</v>
      </c>
      <c r="C55" s="25" t="s">
        <v>69</v>
      </c>
      <c r="D55" s="26" t="s">
        <v>70</v>
      </c>
      <c r="E55" s="27"/>
    </row>
    <row r="56" spans="1:5" ht="22.5" customHeight="1" x14ac:dyDescent="0.45">
      <c r="B56" s="24" t="s">
        <v>71</v>
      </c>
      <c r="C56" s="25" t="s">
        <v>72</v>
      </c>
      <c r="D56" s="26" t="s">
        <v>73</v>
      </c>
      <c r="E56" s="27"/>
    </row>
    <row r="57" spans="1:5" ht="22.5" customHeight="1" x14ac:dyDescent="0.45">
      <c r="B57" s="24" t="s">
        <v>74</v>
      </c>
      <c r="C57" s="25" t="s">
        <v>75</v>
      </c>
      <c r="D57" s="26" t="s">
        <v>76</v>
      </c>
      <c r="E57" s="27"/>
    </row>
    <row r="58" spans="1:5" ht="22.5" customHeight="1" x14ac:dyDescent="0.45">
      <c r="B58" s="24" t="s">
        <v>77</v>
      </c>
      <c r="C58" s="25" t="s">
        <v>78</v>
      </c>
      <c r="D58" s="26" t="s">
        <v>79</v>
      </c>
      <c r="E58" s="27"/>
    </row>
    <row r="59" spans="1:5" ht="22.5" customHeight="1" x14ac:dyDescent="0.45">
      <c r="B59" s="24" t="s">
        <v>80</v>
      </c>
      <c r="C59" s="25" t="s">
        <v>81</v>
      </c>
      <c r="D59" s="26" t="s">
        <v>82</v>
      </c>
      <c r="E59" s="27"/>
    </row>
    <row r="60" spans="1:5" ht="22.5" customHeight="1" x14ac:dyDescent="0.45">
      <c r="B60" s="24" t="s">
        <v>83</v>
      </c>
      <c r="C60" s="25" t="s">
        <v>84</v>
      </c>
      <c r="D60" s="26" t="s">
        <v>85</v>
      </c>
      <c r="E60" s="27"/>
    </row>
    <row r="61" spans="1:5" ht="22.5" customHeight="1" x14ac:dyDescent="0.45">
      <c r="B61" s="24" t="s">
        <v>86</v>
      </c>
      <c r="C61" s="25" t="s">
        <v>87</v>
      </c>
      <c r="D61" s="26" t="s">
        <v>88</v>
      </c>
      <c r="E61" s="27"/>
    </row>
    <row r="62" spans="1:5" ht="14.25" customHeight="1" x14ac:dyDescent="0.45"/>
    <row r="63" spans="1:5" ht="14.25" customHeight="1" x14ac:dyDescent="0.45">
      <c r="D63" s="235"/>
      <c r="E63" s="235"/>
    </row>
    <row r="64" spans="1:5" ht="14.25" customHeight="1" x14ac:dyDescent="0.45">
      <c r="D64" s="235"/>
      <c r="E64" s="235"/>
    </row>
    <row r="65" spans="4:5" ht="14.25" customHeight="1" x14ac:dyDescent="0.45">
      <c r="D65" s="235"/>
      <c r="E65" s="235"/>
    </row>
    <row r="66" spans="4:5" ht="14.25" customHeight="1" x14ac:dyDescent="0.45">
      <c r="D66" s="235"/>
      <c r="E66" s="235"/>
    </row>
    <row r="67" spans="4:5" ht="14.25" customHeight="1" x14ac:dyDescent="0.45">
      <c r="D67" s="235"/>
      <c r="E67" s="235"/>
    </row>
    <row r="68" spans="4:5" ht="14.25" customHeight="1" x14ac:dyDescent="0.45">
      <c r="D68" s="235"/>
      <c r="E68" s="235"/>
    </row>
    <row r="69" spans="4:5" ht="14.25" customHeight="1" x14ac:dyDescent="0.45">
      <c r="D69" s="235"/>
      <c r="E69" s="235"/>
    </row>
    <row r="70" spans="4:5" ht="14.25" customHeight="1" x14ac:dyDescent="0.45">
      <c r="D70" s="235"/>
      <c r="E70" s="235"/>
    </row>
    <row r="71" spans="4:5" ht="14.25" customHeight="1" x14ac:dyDescent="0.45">
      <c r="D71" s="235"/>
      <c r="E71" s="235"/>
    </row>
  </sheetData>
  <mergeCells count="59">
    <mergeCell ref="D68:E68"/>
    <mergeCell ref="D69:E69"/>
    <mergeCell ref="D70:E70"/>
    <mergeCell ref="D71:E71"/>
    <mergeCell ref="D63:E63"/>
    <mergeCell ref="D64:E64"/>
    <mergeCell ref="D65:E65"/>
    <mergeCell ref="D66:E66"/>
    <mergeCell ref="D67:E67"/>
    <mergeCell ref="C45:E45"/>
    <mergeCell ref="C46:E46"/>
    <mergeCell ref="C47:E47"/>
    <mergeCell ref="C48:E48"/>
    <mergeCell ref="A50:E50"/>
    <mergeCell ref="C41:E41"/>
    <mergeCell ref="B42:E42"/>
    <mergeCell ref="A43:E43"/>
    <mergeCell ref="B44:C44"/>
    <mergeCell ref="D44:E44"/>
    <mergeCell ref="C36:E36"/>
    <mergeCell ref="C37:E37"/>
    <mergeCell ref="C38:E38"/>
    <mergeCell ref="C39:E39"/>
    <mergeCell ref="C40:E40"/>
    <mergeCell ref="C31:E31"/>
    <mergeCell ref="B32:E32"/>
    <mergeCell ref="A34:E34"/>
    <mergeCell ref="B35:C35"/>
    <mergeCell ref="D35:E35"/>
    <mergeCell ref="C26:E26"/>
    <mergeCell ref="C27:E27"/>
    <mergeCell ref="C28:E28"/>
    <mergeCell ref="C29:E29"/>
    <mergeCell ref="C30:E30"/>
    <mergeCell ref="A22:E22"/>
    <mergeCell ref="B23:C23"/>
    <mergeCell ref="D23:E23"/>
    <mergeCell ref="C24:E24"/>
    <mergeCell ref="C25:E25"/>
    <mergeCell ref="C16:E16"/>
    <mergeCell ref="C17:E17"/>
    <mergeCell ref="C18:E18"/>
    <mergeCell ref="C19:E19"/>
    <mergeCell ref="B20:E20"/>
    <mergeCell ref="B11:E11"/>
    <mergeCell ref="A13:E13"/>
    <mergeCell ref="B14:C14"/>
    <mergeCell ref="D14:E14"/>
    <mergeCell ref="C15:E15"/>
    <mergeCell ref="C6:E6"/>
    <mergeCell ref="C7:E7"/>
    <mergeCell ref="C8:E8"/>
    <mergeCell ref="C9:E9"/>
    <mergeCell ref="C10:E10"/>
    <mergeCell ref="A1:E1"/>
    <mergeCell ref="A2:E2"/>
    <mergeCell ref="A4:E4"/>
    <mergeCell ref="B5:C5"/>
    <mergeCell ref="D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9"/>
  <sheetViews>
    <sheetView showGridLines="0" topLeftCell="A71" zoomScale="120" zoomScaleNormal="120" workbookViewId="0">
      <selection activeCell="B85" sqref="B85"/>
    </sheetView>
  </sheetViews>
  <sheetFormatPr defaultColWidth="8.6640625" defaultRowHeight="14.25" x14ac:dyDescent="0.45"/>
  <cols>
    <col min="2" max="2" width="50.46484375" customWidth="1"/>
    <col min="3" max="3" width="28" customWidth="1"/>
    <col min="4" max="4" width="40" customWidth="1"/>
  </cols>
  <sheetData>
    <row r="1" spans="1:10" ht="30" customHeight="1" x14ac:dyDescent="0.45">
      <c r="A1" s="236" t="s">
        <v>89</v>
      </c>
      <c r="B1" s="236"/>
      <c r="C1" s="236"/>
      <c r="D1" s="236"/>
      <c r="E1" s="236"/>
      <c r="F1" s="236"/>
      <c r="G1" s="236"/>
      <c r="H1" s="236"/>
      <c r="I1" s="236"/>
      <c r="J1" s="236"/>
    </row>
    <row r="2" spans="1:10" ht="15.75" customHeight="1" x14ac:dyDescent="0.45">
      <c r="A2" s="237" t="s">
        <v>90</v>
      </c>
      <c r="B2" s="237"/>
      <c r="C2" s="237"/>
      <c r="D2" s="237"/>
      <c r="E2" s="237"/>
      <c r="F2" s="237"/>
      <c r="G2" s="237"/>
      <c r="H2" s="237"/>
      <c r="I2" s="237"/>
      <c r="J2" s="237"/>
    </row>
    <row r="3" spans="1:10" ht="7.5" customHeight="1" x14ac:dyDescent="0.45"/>
    <row r="4" spans="1:10" ht="19.5" customHeight="1" x14ac:dyDescent="0.45">
      <c r="B4" s="28" t="s">
        <v>91</v>
      </c>
      <c r="C4" s="28" t="s">
        <v>92</v>
      </c>
      <c r="D4" s="28" t="s">
        <v>93</v>
      </c>
    </row>
    <row r="5" spans="1:10" ht="14.25" customHeight="1" x14ac:dyDescent="0.45">
      <c r="B5" s="29" t="s">
        <v>94</v>
      </c>
      <c r="C5" s="30" t="s">
        <v>95</v>
      </c>
      <c r="D5" s="31" t="s">
        <v>96</v>
      </c>
    </row>
    <row r="6" spans="1:10" ht="14.25" customHeight="1" x14ac:dyDescent="0.45">
      <c r="B6" s="29" t="s">
        <v>97</v>
      </c>
      <c r="C6" s="30">
        <v>2026</v>
      </c>
      <c r="D6" s="31" t="s">
        <v>98</v>
      </c>
    </row>
    <row r="7" spans="1:10" ht="14.25" customHeight="1" x14ac:dyDescent="0.45">
      <c r="B7" s="29" t="s">
        <v>99</v>
      </c>
      <c r="C7" s="32" t="str">
        <f>C5&amp;" "&amp;C6</f>
        <v>Q1 2026</v>
      </c>
      <c r="D7" s="31" t="s">
        <v>100</v>
      </c>
    </row>
    <row r="8" spans="1:10" ht="14.25" customHeight="1" x14ac:dyDescent="0.45">
      <c r="B8" s="29" t="s">
        <v>101</v>
      </c>
      <c r="C8" s="33">
        <f>DATE(C6,IF(C5="Q1",1,IF(C5="Q2",4,IF(C5="Q3",7,10))),1)</f>
        <v>46023</v>
      </c>
      <c r="D8" s="31" t="s">
        <v>102</v>
      </c>
    </row>
    <row r="9" spans="1:10" ht="14.25" customHeight="1" x14ac:dyDescent="0.45">
      <c r="B9" s="29" t="s">
        <v>103</v>
      </c>
      <c r="C9" s="33">
        <f>DATE(C6,IF(C5="Q1",3,IF(C5="Q2",6,IF(C5="Q3",9,12))),31)</f>
        <v>46112</v>
      </c>
      <c r="D9" s="31" t="s">
        <v>104</v>
      </c>
    </row>
    <row r="10" spans="1:10" ht="14.25" customHeight="1" x14ac:dyDescent="0.45">
      <c r="B10" s="29" t="s">
        <v>105</v>
      </c>
      <c r="C10" s="33">
        <f>DATE(C6+IF(C5="Q4",1,0),IF(C5="Q1",4,IF(C5="Q2",7,IF(C5="Q3",10,1))),30)</f>
        <v>46142</v>
      </c>
      <c r="D10" s="31" t="s">
        <v>106</v>
      </c>
    </row>
    <row r="11" spans="1:10" ht="14.25" customHeight="1" x14ac:dyDescent="0.45">
      <c r="B11" s="29" t="s">
        <v>107</v>
      </c>
      <c r="C11" s="32" t="str">
        <f>"PT ITSEC ASIA — SALES COMMISSION TRACKER "&amp;C7</f>
        <v>PT ITSEC ASIA — SALES COMMISSION TRACKER Q1 2026</v>
      </c>
      <c r="D11" s="31" t="s">
        <v>108</v>
      </c>
    </row>
    <row r="12" spans="1:10" ht="14.25" customHeight="1" x14ac:dyDescent="0.45"/>
    <row r="13" spans="1:10" ht="14.25" customHeight="1" x14ac:dyDescent="0.45">
      <c r="B13" s="238" t="s">
        <v>109</v>
      </c>
      <c r="C13" s="238"/>
      <c r="D13" s="238"/>
    </row>
    <row r="14" spans="1:10" ht="14.25" customHeight="1" x14ac:dyDescent="0.45">
      <c r="B14" s="34" t="s">
        <v>110</v>
      </c>
      <c r="C14" s="35" t="s">
        <v>111</v>
      </c>
      <c r="D14" s="31" t="s">
        <v>112</v>
      </c>
    </row>
    <row r="15" spans="1:10" ht="14.25" customHeight="1" x14ac:dyDescent="0.45">
      <c r="B15" s="34" t="s">
        <v>113</v>
      </c>
      <c r="C15" s="35" t="s">
        <v>114</v>
      </c>
      <c r="D15" s="31" t="s">
        <v>115</v>
      </c>
    </row>
    <row r="16" spans="1:10" ht="14.25" customHeight="1" x14ac:dyDescent="0.45">
      <c r="B16" s="34" t="s">
        <v>116</v>
      </c>
      <c r="C16" s="35" t="s">
        <v>117</v>
      </c>
      <c r="D16" s="31" t="s">
        <v>118</v>
      </c>
    </row>
    <row r="17" spans="1:5" ht="14.25" customHeight="1" x14ac:dyDescent="0.45">
      <c r="B17" s="34" t="s">
        <v>119</v>
      </c>
      <c r="C17" s="35" t="s">
        <v>120</v>
      </c>
      <c r="D17" s="31" t="s">
        <v>121</v>
      </c>
    </row>
    <row r="18" spans="1:5" ht="14.25" customHeight="1" x14ac:dyDescent="0.45"/>
    <row r="19" spans="1:5" ht="14.25" customHeight="1" x14ac:dyDescent="0.45">
      <c r="B19" s="28" t="s">
        <v>122</v>
      </c>
      <c r="C19" s="28" t="s">
        <v>57</v>
      </c>
      <c r="D19" s="28" t="s">
        <v>58</v>
      </c>
    </row>
    <row r="20" spans="1:5" ht="14.25" customHeight="1" x14ac:dyDescent="0.45">
      <c r="B20" s="36" t="s">
        <v>123</v>
      </c>
      <c r="C20" s="37">
        <v>0.05</v>
      </c>
      <c r="D20" s="31" t="s">
        <v>124</v>
      </c>
    </row>
    <row r="21" spans="1:5" ht="14.25" customHeight="1" x14ac:dyDescent="0.45">
      <c r="B21" s="36" t="s">
        <v>125</v>
      </c>
      <c r="C21" s="38">
        <v>2.5000000000000001E-2</v>
      </c>
      <c r="D21" s="31" t="s">
        <v>126</v>
      </c>
    </row>
    <row r="22" spans="1:5" ht="14.25" customHeight="1" x14ac:dyDescent="0.45">
      <c r="B22" s="36" t="s">
        <v>127</v>
      </c>
      <c r="C22" s="38">
        <v>2.5000000000000001E-2</v>
      </c>
      <c r="D22" s="31" t="s">
        <v>128</v>
      </c>
    </row>
    <row r="23" spans="1:5" ht="14.25" customHeight="1" x14ac:dyDescent="0.45">
      <c r="B23" s="36" t="s">
        <v>129</v>
      </c>
      <c r="C23" s="39">
        <v>7.0000000000000001E-3</v>
      </c>
      <c r="D23" s="31" t="s">
        <v>130</v>
      </c>
    </row>
    <row r="24" spans="1:5" ht="14.25" customHeight="1" x14ac:dyDescent="0.45">
      <c r="B24" s="36" t="s">
        <v>131</v>
      </c>
      <c r="C24" s="40">
        <v>3.0000000000000001E-3</v>
      </c>
      <c r="D24" s="31" t="s">
        <v>132</v>
      </c>
    </row>
    <row r="25" spans="1:5" ht="14.25" customHeight="1" x14ac:dyDescent="0.45">
      <c r="B25" s="36" t="s">
        <v>133</v>
      </c>
      <c r="C25" s="41">
        <v>3.5000000000000003E-2</v>
      </c>
      <c r="D25" s="31" t="s">
        <v>134</v>
      </c>
    </row>
    <row r="26" spans="1:5" ht="14.25" customHeight="1" x14ac:dyDescent="0.45">
      <c r="B26" s="36" t="s">
        <v>135</v>
      </c>
      <c r="C26" s="42">
        <v>0.01</v>
      </c>
      <c r="D26" s="31" t="s">
        <v>136</v>
      </c>
    </row>
    <row r="27" spans="1:5" ht="14.25" customHeight="1" x14ac:dyDescent="0.45"/>
    <row r="28" spans="1:5" ht="14.25" customHeight="1" x14ac:dyDescent="0.45"/>
    <row r="29" spans="1:5" ht="14.25" customHeight="1" x14ac:dyDescent="0.45">
      <c r="B29" s="43" t="s">
        <v>137</v>
      </c>
    </row>
    <row r="30" spans="1:5" ht="14.25" customHeight="1" x14ac:dyDescent="0.45">
      <c r="A30" s="44"/>
      <c r="B30" s="239" t="s">
        <v>138</v>
      </c>
      <c r="C30" s="239"/>
      <c r="D30" s="239"/>
      <c r="E30" s="44"/>
    </row>
    <row r="31" spans="1:5" ht="14.25" customHeight="1" x14ac:dyDescent="0.45">
      <c r="A31" s="44"/>
      <c r="B31" s="45" t="s">
        <v>71</v>
      </c>
      <c r="C31" s="46" t="s">
        <v>139</v>
      </c>
      <c r="D31" s="31" t="s">
        <v>140</v>
      </c>
      <c r="E31" s="44"/>
    </row>
    <row r="32" spans="1:5" ht="14.25" customHeight="1" x14ac:dyDescent="0.45">
      <c r="A32" s="44"/>
      <c r="B32" s="47"/>
      <c r="C32" s="48"/>
      <c r="D32" s="31"/>
      <c r="E32" s="44"/>
    </row>
    <row r="33" spans="1:5" ht="14.25" customHeight="1" x14ac:dyDescent="0.45">
      <c r="A33" s="44"/>
      <c r="B33" s="47"/>
      <c r="C33" s="48"/>
      <c r="D33" s="31"/>
      <c r="E33" s="44"/>
    </row>
    <row r="34" spans="1:5" ht="14.25" customHeight="1" x14ac:dyDescent="0.45">
      <c r="A34" s="44"/>
      <c r="B34" s="47"/>
      <c r="C34" s="48"/>
      <c r="D34" s="31"/>
      <c r="E34" s="44"/>
    </row>
    <row r="35" spans="1:5" ht="14.25" customHeight="1" x14ac:dyDescent="0.45">
      <c r="A35" s="44"/>
      <c r="B35" s="47"/>
      <c r="C35" s="48"/>
      <c r="D35" s="31"/>
      <c r="E35" s="44"/>
    </row>
    <row r="36" spans="1:5" ht="14.25" customHeight="1" x14ac:dyDescent="0.45">
      <c r="A36" s="44"/>
      <c r="B36" s="49"/>
      <c r="C36" s="49"/>
      <c r="D36" s="44"/>
      <c r="E36" s="44"/>
    </row>
    <row r="37" spans="1:5" ht="14.25" customHeight="1" x14ac:dyDescent="0.45">
      <c r="A37" s="44"/>
      <c r="B37" s="50" t="s">
        <v>68</v>
      </c>
      <c r="C37" s="46" t="s">
        <v>141</v>
      </c>
      <c r="D37" s="31" t="s">
        <v>140</v>
      </c>
      <c r="E37" s="44"/>
    </row>
    <row r="38" spans="1:5" ht="14.25" customHeight="1" x14ac:dyDescent="0.45">
      <c r="A38" s="44"/>
      <c r="B38" s="51"/>
      <c r="C38" s="46" t="s">
        <v>142</v>
      </c>
      <c r="D38" s="31"/>
      <c r="E38" s="44"/>
    </row>
    <row r="39" spans="1:5" ht="14.25" customHeight="1" x14ac:dyDescent="0.45">
      <c r="A39" s="44"/>
      <c r="B39" s="51"/>
      <c r="C39" s="48"/>
      <c r="D39" s="31"/>
      <c r="E39" s="44"/>
    </row>
    <row r="40" spans="1:5" ht="14.25" customHeight="1" x14ac:dyDescent="0.45">
      <c r="A40" s="44"/>
      <c r="B40" s="51"/>
      <c r="C40" s="48"/>
      <c r="D40" s="31"/>
      <c r="E40" s="44"/>
    </row>
    <row r="41" spans="1:5" ht="14.25" customHeight="1" x14ac:dyDescent="0.45">
      <c r="A41" s="44"/>
      <c r="B41" s="51"/>
      <c r="C41" s="48"/>
      <c r="D41" s="31"/>
      <c r="E41" s="44"/>
    </row>
    <row r="42" spans="1:5" ht="14.25" customHeight="1" x14ac:dyDescent="0.45">
      <c r="A42" s="44"/>
      <c r="B42" s="51"/>
      <c r="C42" s="48"/>
      <c r="D42" s="31"/>
      <c r="E42" s="44"/>
    </row>
    <row r="43" spans="1:5" ht="14.25" customHeight="1" x14ac:dyDescent="0.45">
      <c r="A43" s="44"/>
      <c r="B43" s="49"/>
      <c r="C43" s="49"/>
      <c r="D43" s="44"/>
      <c r="E43" s="44"/>
    </row>
    <row r="44" spans="1:5" ht="14.25" customHeight="1" x14ac:dyDescent="0.45">
      <c r="A44" s="44"/>
      <c r="B44" s="52" t="s">
        <v>143</v>
      </c>
      <c r="C44" s="46" t="s">
        <v>144</v>
      </c>
      <c r="D44" s="31" t="s">
        <v>140</v>
      </c>
      <c r="E44" s="44"/>
    </row>
    <row r="45" spans="1:5" ht="14.25" customHeight="1" x14ac:dyDescent="0.45">
      <c r="A45" s="44"/>
      <c r="B45" s="53"/>
      <c r="C45" s="46" t="s">
        <v>145</v>
      </c>
      <c r="D45" s="31"/>
      <c r="E45" s="44"/>
    </row>
    <row r="46" spans="1:5" ht="14.25" customHeight="1" x14ac:dyDescent="0.45">
      <c r="A46" s="44"/>
      <c r="B46" s="53"/>
      <c r="C46" s="46" t="s">
        <v>146</v>
      </c>
      <c r="D46" s="31"/>
      <c r="E46" s="44"/>
    </row>
    <row r="47" spans="1:5" ht="14.25" customHeight="1" x14ac:dyDescent="0.45">
      <c r="A47" s="44"/>
      <c r="B47" s="53"/>
      <c r="C47" s="46" t="s">
        <v>147</v>
      </c>
      <c r="D47" s="31"/>
      <c r="E47" s="44"/>
    </row>
    <row r="48" spans="1:5" ht="14.25" customHeight="1" x14ac:dyDescent="0.45">
      <c r="A48" s="44"/>
      <c r="B48" s="53"/>
      <c r="C48" s="46" t="s">
        <v>148</v>
      </c>
      <c r="D48" s="31"/>
      <c r="E48" s="44"/>
    </row>
    <row r="49" spans="1:5" ht="14.25" customHeight="1" x14ac:dyDescent="0.45">
      <c r="A49" s="44"/>
      <c r="B49" s="53"/>
      <c r="C49" s="46" t="s">
        <v>149</v>
      </c>
      <c r="D49" s="31"/>
      <c r="E49" s="44"/>
    </row>
    <row r="50" spans="1:5" ht="14.25" customHeight="1" x14ac:dyDescent="0.45">
      <c r="A50" s="44"/>
      <c r="B50" s="53"/>
      <c r="C50" s="46" t="s">
        <v>150</v>
      </c>
      <c r="D50" s="31"/>
      <c r="E50" s="44"/>
    </row>
    <row r="51" spans="1:5" ht="14.25" customHeight="1" x14ac:dyDescent="0.45">
      <c r="A51" s="44"/>
      <c r="B51" s="53"/>
      <c r="C51" s="48" t="s">
        <v>141</v>
      </c>
      <c r="D51" s="31"/>
      <c r="E51" s="44"/>
    </row>
    <row r="52" spans="1:5" ht="14.25" customHeight="1" x14ac:dyDescent="0.45">
      <c r="A52" s="44"/>
      <c r="B52" s="53"/>
      <c r="C52" s="48" t="s">
        <v>142</v>
      </c>
      <c r="D52" s="31"/>
      <c r="E52" s="44"/>
    </row>
    <row r="53" spans="1:5" ht="14.25" customHeight="1" x14ac:dyDescent="0.45">
      <c r="A53" s="44"/>
      <c r="B53" s="53"/>
      <c r="C53" s="48"/>
      <c r="D53" s="31"/>
      <c r="E53" s="44"/>
    </row>
    <row r="54" spans="1:5" ht="14.25" customHeight="1" x14ac:dyDescent="0.45">
      <c r="A54" s="44"/>
      <c r="B54" s="53"/>
      <c r="C54" s="48"/>
      <c r="D54" s="31"/>
      <c r="E54" s="44"/>
    </row>
    <row r="55" spans="1:5" ht="14.25" customHeight="1" x14ac:dyDescent="0.45">
      <c r="A55" s="44"/>
      <c r="B55" s="49"/>
      <c r="C55" s="49"/>
      <c r="D55" s="44"/>
      <c r="E55" s="44"/>
    </row>
    <row r="56" spans="1:5" ht="14.25" customHeight="1" x14ac:dyDescent="0.45">
      <c r="A56" s="44"/>
      <c r="B56" s="54" t="s">
        <v>74</v>
      </c>
      <c r="C56" s="46" t="s">
        <v>151</v>
      </c>
      <c r="D56" s="31" t="s">
        <v>140</v>
      </c>
      <c r="E56" s="44"/>
    </row>
    <row r="57" spans="1:5" ht="14.25" customHeight="1" x14ac:dyDescent="0.45">
      <c r="A57" s="44"/>
      <c r="B57" s="55"/>
      <c r="C57" s="46" t="s">
        <v>152</v>
      </c>
      <c r="D57" s="31"/>
      <c r="E57" s="44"/>
    </row>
    <row r="58" spans="1:5" ht="14.25" customHeight="1" x14ac:dyDescent="0.45">
      <c r="A58" s="44"/>
      <c r="B58" s="55"/>
      <c r="C58" s="46" t="s">
        <v>153</v>
      </c>
      <c r="D58" s="31"/>
      <c r="E58" s="44"/>
    </row>
    <row r="59" spans="1:5" ht="14.25" customHeight="1" x14ac:dyDescent="0.45">
      <c r="A59" s="44"/>
      <c r="B59" s="55"/>
      <c r="C59" s="46" t="s">
        <v>154</v>
      </c>
      <c r="D59" s="31"/>
      <c r="E59" s="44"/>
    </row>
    <row r="60" spans="1:5" ht="14.25" customHeight="1" x14ac:dyDescent="0.45">
      <c r="A60" s="44"/>
      <c r="B60" s="55"/>
      <c r="C60" s="46" t="s">
        <v>155</v>
      </c>
      <c r="D60" s="31"/>
      <c r="E60" s="44"/>
    </row>
    <row r="61" spans="1:5" ht="14.25" customHeight="1" x14ac:dyDescent="0.45">
      <c r="A61" s="44"/>
      <c r="B61" s="55"/>
      <c r="C61" s="46" t="s">
        <v>156</v>
      </c>
      <c r="D61" s="31"/>
      <c r="E61" s="44"/>
    </row>
    <row r="62" spans="1:5" ht="14.25" customHeight="1" x14ac:dyDescent="0.45">
      <c r="A62" s="44"/>
      <c r="B62" s="55"/>
      <c r="C62" s="48" t="s">
        <v>157</v>
      </c>
      <c r="D62" s="31"/>
      <c r="E62" s="44"/>
    </row>
    <row r="63" spans="1:5" ht="14.25" customHeight="1" x14ac:dyDescent="0.45">
      <c r="A63" s="44"/>
      <c r="B63" s="55"/>
      <c r="C63" s="48" t="s">
        <v>158</v>
      </c>
      <c r="D63" s="31"/>
      <c r="E63" s="44"/>
    </row>
    <row r="64" spans="1:5" ht="14.25" customHeight="1" x14ac:dyDescent="0.45">
      <c r="A64" s="44"/>
      <c r="B64" s="55"/>
      <c r="C64" s="48" t="s">
        <v>159</v>
      </c>
      <c r="D64" s="31"/>
      <c r="E64" s="44"/>
    </row>
    <row r="65" spans="1:5" ht="14.25" customHeight="1" x14ac:dyDescent="0.45">
      <c r="A65" s="44"/>
      <c r="B65" s="55"/>
      <c r="C65" s="48" t="s">
        <v>160</v>
      </c>
      <c r="D65" s="31"/>
      <c r="E65" s="44"/>
    </row>
    <row r="66" spans="1:5" ht="14.25" customHeight="1" x14ac:dyDescent="0.45">
      <c r="A66" s="44"/>
      <c r="B66" s="55"/>
      <c r="C66" s="48" t="s">
        <v>161</v>
      </c>
      <c r="D66" s="31"/>
      <c r="E66" s="44"/>
    </row>
    <row r="67" spans="1:5" ht="14.25" customHeight="1" x14ac:dyDescent="0.45">
      <c r="A67" s="44"/>
      <c r="B67" s="55"/>
      <c r="C67" s="48" t="s">
        <v>162</v>
      </c>
      <c r="D67" s="31"/>
      <c r="E67" s="44"/>
    </row>
    <row r="68" spans="1:5" ht="14.25" customHeight="1" x14ac:dyDescent="0.45">
      <c r="A68" s="44"/>
      <c r="B68" s="55"/>
      <c r="C68" s="48" t="s">
        <v>163</v>
      </c>
      <c r="D68" s="31"/>
      <c r="E68" s="44"/>
    </row>
    <row r="69" spans="1:5" ht="14.25" customHeight="1" x14ac:dyDescent="0.45">
      <c r="A69" s="44"/>
      <c r="B69" s="55"/>
      <c r="C69" s="48" t="s">
        <v>164</v>
      </c>
      <c r="D69" s="31"/>
      <c r="E69" s="44"/>
    </row>
    <row r="70" spans="1:5" ht="14.25" customHeight="1" x14ac:dyDescent="0.45">
      <c r="A70" s="44"/>
      <c r="B70" s="55"/>
      <c r="C70" s="48" t="s">
        <v>165</v>
      </c>
      <c r="D70" s="31"/>
      <c r="E70" s="44"/>
    </row>
    <row r="71" spans="1:5" ht="14.25" customHeight="1" x14ac:dyDescent="0.45">
      <c r="A71" s="44"/>
      <c r="B71" s="55"/>
      <c r="C71" s="48" t="s">
        <v>166</v>
      </c>
      <c r="D71" s="31"/>
      <c r="E71" s="44"/>
    </row>
    <row r="72" spans="1:5" ht="14.25" customHeight="1" x14ac:dyDescent="0.45">
      <c r="A72" s="44"/>
      <c r="B72" s="44"/>
      <c r="C72" s="49"/>
      <c r="D72" s="44"/>
      <c r="E72" s="44"/>
    </row>
    <row r="73" spans="1:5" ht="14.25" customHeight="1" x14ac:dyDescent="0.45">
      <c r="A73" s="44"/>
      <c r="B73" s="56" t="s">
        <v>167</v>
      </c>
      <c r="C73" s="46" t="s">
        <v>168</v>
      </c>
      <c r="D73" s="31" t="s">
        <v>140</v>
      </c>
      <c r="E73" s="44"/>
    </row>
    <row r="74" spans="1:5" ht="14.25" customHeight="1" x14ac:dyDescent="0.45">
      <c r="A74" s="44"/>
      <c r="B74" s="57"/>
      <c r="C74" s="46" t="s">
        <v>169</v>
      </c>
      <c r="D74" s="31"/>
      <c r="E74" s="44"/>
    </row>
    <row r="75" spans="1:5" ht="14.25" customHeight="1" x14ac:dyDescent="0.45">
      <c r="A75" s="44"/>
      <c r="B75" s="57"/>
      <c r="C75" s="48"/>
      <c r="D75" s="31"/>
      <c r="E75" s="44"/>
    </row>
    <row r="76" spans="1:5" ht="14.25" customHeight="1" x14ac:dyDescent="0.45">
      <c r="A76" s="44"/>
      <c r="B76" s="57"/>
      <c r="C76" s="48"/>
      <c r="D76" s="31"/>
      <c r="E76" s="44"/>
    </row>
    <row r="77" spans="1:5" ht="14.25" customHeight="1" x14ac:dyDescent="0.45">
      <c r="A77" s="44"/>
      <c r="B77" s="57"/>
      <c r="C77" s="48"/>
      <c r="D77" s="31"/>
      <c r="E77" s="44"/>
    </row>
    <row r="78" spans="1:5" ht="14.25" customHeight="1" x14ac:dyDescent="0.45">
      <c r="A78" s="44"/>
      <c r="B78" s="57"/>
      <c r="C78" s="48"/>
      <c r="D78" s="31"/>
      <c r="E78" s="44"/>
    </row>
    <row r="79" spans="1:5" ht="14.25" customHeight="1" x14ac:dyDescent="0.45">
      <c r="A79" s="44"/>
      <c r="B79" s="44"/>
      <c r="C79" s="49"/>
      <c r="D79" s="44"/>
      <c r="E79" s="44"/>
    </row>
    <row r="80" spans="1:5" ht="14.25" customHeight="1" x14ac:dyDescent="0.45">
      <c r="A80" s="44"/>
      <c r="B80" s="44"/>
      <c r="C80" s="49"/>
      <c r="D80" s="44"/>
      <c r="E80" s="44"/>
    </row>
    <row r="81" spans="2:3" ht="14.25" customHeight="1" x14ac:dyDescent="0.45">
      <c r="B81" s="58"/>
      <c r="C81" s="59"/>
    </row>
    <row r="82" spans="2:3" ht="14.25" customHeight="1" x14ac:dyDescent="0.45">
      <c r="B82" s="58"/>
      <c r="C82" s="59"/>
    </row>
    <row r="83" spans="2:3" ht="14.25" customHeight="1" x14ac:dyDescent="0.45">
      <c r="B83" s="58"/>
      <c r="C83" s="59"/>
    </row>
    <row r="84" spans="2:3" ht="14.25" customHeight="1" x14ac:dyDescent="0.45">
      <c r="B84" s="58"/>
      <c r="C84" s="59"/>
    </row>
    <row r="85" spans="2:3" ht="18" customHeight="1" x14ac:dyDescent="0.45"/>
    <row r="86" spans="2:3" ht="18" customHeight="1" x14ac:dyDescent="0.45"/>
    <row r="87" spans="2:3" ht="18" customHeight="1" x14ac:dyDescent="0.45"/>
    <row r="88" spans="2:3" ht="18" customHeight="1" x14ac:dyDescent="0.45"/>
    <row r="89" spans="2:3" ht="18" customHeight="1" x14ac:dyDescent="0.45"/>
  </sheetData>
  <mergeCells count="4">
    <mergeCell ref="A1:J1"/>
    <mergeCell ref="A2:J2"/>
    <mergeCell ref="B13:D13"/>
    <mergeCell ref="B30:D30"/>
  </mergeCells>
  <dataValidations count="1">
    <dataValidation type="list" sqref="C5" xr:uid="{00000000-0002-0000-0100-000000000000}">
      <formula1>"Q1,Q2,Q3,Q4"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3"/>
  <sheetViews>
    <sheetView showGridLines="0" zoomScale="57" zoomScaleNormal="57" workbookViewId="0">
      <pane ySplit="3" topLeftCell="A4" activePane="bottomLeft" state="frozen"/>
      <selection pane="bottomLeft" activeCell="C4" sqref="C4"/>
    </sheetView>
  </sheetViews>
  <sheetFormatPr defaultColWidth="8.6640625" defaultRowHeight="14.25" x14ac:dyDescent="0.45"/>
  <cols>
    <col min="1" max="1" width="13" customWidth="1"/>
    <col min="2" max="2" width="28" customWidth="1"/>
    <col min="3" max="3" width="14" customWidth="1"/>
    <col min="4" max="4" width="13" customWidth="1"/>
    <col min="5" max="5" width="16" customWidth="1"/>
    <col min="6" max="6" width="11" customWidth="1"/>
    <col min="7" max="7" width="22" customWidth="1"/>
    <col min="8" max="8" width="36" customWidth="1"/>
    <col min="9" max="10" width="11" customWidth="1"/>
    <col min="11" max="11" width="16" customWidth="1"/>
    <col min="12" max="12" width="12" customWidth="1"/>
    <col min="13" max="14" width="14" customWidth="1"/>
    <col min="15" max="15" width="16" customWidth="1"/>
    <col min="16" max="18" width="14" customWidth="1"/>
    <col min="19" max="19" width="16" customWidth="1"/>
  </cols>
  <sheetData>
    <row r="1" spans="1:19" ht="27.75" customHeight="1" x14ac:dyDescent="0.45">
      <c r="A1" s="240" t="str">
        <f>Config!C11&amp;" — RAW DATA (PSOhub Export)"</f>
        <v>PT ITSEC ASIA — SALES COMMISSION TRACKER Q1 2026 — RAW DATA (PSOhub Export)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</row>
    <row r="2" spans="1:19" ht="19.5" customHeight="1" x14ac:dyDescent="0.45">
      <c r="A2" s="241" t="s">
        <v>170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</row>
    <row r="3" spans="1:19" ht="31.5" customHeight="1" x14ac:dyDescent="0.45">
      <c r="A3" s="60" t="s">
        <v>171</v>
      </c>
      <c r="B3" s="60" t="s">
        <v>172</v>
      </c>
      <c r="C3" s="60" t="s">
        <v>173</v>
      </c>
      <c r="D3" s="60" t="s">
        <v>174</v>
      </c>
      <c r="E3" s="60" t="s">
        <v>175</v>
      </c>
      <c r="F3" s="60" t="s">
        <v>176</v>
      </c>
      <c r="G3" s="60" t="s">
        <v>177</v>
      </c>
      <c r="H3" s="60" t="s">
        <v>178</v>
      </c>
      <c r="I3" s="60" t="s">
        <v>179</v>
      </c>
      <c r="J3" s="60" t="s">
        <v>180</v>
      </c>
      <c r="K3" s="60" t="s">
        <v>181</v>
      </c>
      <c r="L3" s="60" t="s">
        <v>182</v>
      </c>
      <c r="M3" s="60" t="s">
        <v>183</v>
      </c>
      <c r="N3" s="60" t="s">
        <v>184</v>
      </c>
      <c r="O3" s="60" t="s">
        <v>185</v>
      </c>
      <c r="P3" s="61" t="s">
        <v>186</v>
      </c>
      <c r="Q3" s="61" t="s">
        <v>187</v>
      </c>
      <c r="R3" s="62" t="s">
        <v>188</v>
      </c>
      <c r="S3" s="60" t="s">
        <v>189</v>
      </c>
    </row>
    <row r="4" spans="1:19" ht="15.75" customHeight="1" x14ac:dyDescent="0.45">
      <c r="A4" s="63" t="s">
        <v>190</v>
      </c>
      <c r="B4" s="63" t="s">
        <v>191</v>
      </c>
      <c r="C4" s="63" t="s">
        <v>192</v>
      </c>
      <c r="D4" s="63" t="s">
        <v>193</v>
      </c>
      <c r="E4" s="63" t="s">
        <v>194</v>
      </c>
      <c r="F4" s="64">
        <v>46032</v>
      </c>
      <c r="G4" s="63" t="s">
        <v>195</v>
      </c>
      <c r="H4" s="65" t="s">
        <v>196</v>
      </c>
      <c r="I4" s="64">
        <v>46037</v>
      </c>
      <c r="J4" s="64">
        <v>46068</v>
      </c>
      <c r="K4" s="66">
        <v>200000000</v>
      </c>
      <c r="L4" s="66">
        <v>22000000</v>
      </c>
      <c r="M4" s="66">
        <v>4000000</v>
      </c>
      <c r="N4" s="66">
        <v>218000000</v>
      </c>
      <c r="O4" s="66">
        <v>196000000</v>
      </c>
      <c r="P4" s="67"/>
      <c r="Q4" s="67">
        <v>0.45</v>
      </c>
      <c r="R4" s="67"/>
      <c r="S4" s="66">
        <v>88200000</v>
      </c>
    </row>
    <row r="5" spans="1:19" ht="15.75" customHeight="1" x14ac:dyDescent="0.45">
      <c r="A5" s="68" t="s">
        <v>197</v>
      </c>
      <c r="B5" s="68" t="s">
        <v>198</v>
      </c>
      <c r="C5" s="68" t="s">
        <v>199</v>
      </c>
      <c r="D5" s="68" t="s">
        <v>200</v>
      </c>
      <c r="E5" s="68" t="s">
        <v>201</v>
      </c>
      <c r="F5" s="69">
        <v>46054</v>
      </c>
      <c r="G5" s="68" t="s">
        <v>202</v>
      </c>
      <c r="H5" s="70" t="s">
        <v>203</v>
      </c>
      <c r="I5" s="69">
        <v>46063</v>
      </c>
      <c r="J5" s="69">
        <v>46096</v>
      </c>
      <c r="K5" s="71">
        <v>150000000</v>
      </c>
      <c r="L5" s="71">
        <v>16500000</v>
      </c>
      <c r="M5" s="71">
        <v>3000000</v>
      </c>
      <c r="N5" s="71">
        <v>163500000</v>
      </c>
      <c r="O5" s="71">
        <v>147000000</v>
      </c>
      <c r="P5" s="72">
        <v>0.35</v>
      </c>
      <c r="Q5" s="72"/>
      <c r="R5" s="72"/>
      <c r="S5" s="71">
        <v>51450000</v>
      </c>
    </row>
    <row r="6" spans="1:19" ht="15.75" customHeight="1" x14ac:dyDescent="0.45">
      <c r="A6" s="63" t="s">
        <v>204</v>
      </c>
      <c r="B6" s="63" t="s">
        <v>205</v>
      </c>
      <c r="C6" s="63" t="s">
        <v>206</v>
      </c>
      <c r="D6" s="63" t="s">
        <v>207</v>
      </c>
      <c r="E6" s="63" t="s">
        <v>194</v>
      </c>
      <c r="F6" s="64">
        <v>46027</v>
      </c>
      <c r="G6" s="63" t="s">
        <v>208</v>
      </c>
      <c r="H6" s="65" t="s">
        <v>209</v>
      </c>
      <c r="I6" s="64">
        <v>46082</v>
      </c>
      <c r="J6" s="64">
        <v>46113</v>
      </c>
      <c r="K6" s="66">
        <v>350000000</v>
      </c>
      <c r="L6" s="66">
        <v>38500000</v>
      </c>
      <c r="M6" s="66">
        <v>7000000</v>
      </c>
      <c r="N6" s="66">
        <v>381500000</v>
      </c>
      <c r="O6" s="66">
        <v>343000000</v>
      </c>
      <c r="P6" s="67"/>
      <c r="Q6" s="67">
        <v>0.3</v>
      </c>
      <c r="R6" s="67"/>
      <c r="S6" s="66">
        <v>102900000</v>
      </c>
    </row>
    <row r="7" spans="1:19" ht="15.75" customHeight="1" x14ac:dyDescent="0.45">
      <c r="A7" s="68" t="s">
        <v>210</v>
      </c>
      <c r="B7" s="68" t="s">
        <v>211</v>
      </c>
      <c r="C7" s="68" t="s">
        <v>212</v>
      </c>
      <c r="D7" s="68" t="s">
        <v>213</v>
      </c>
      <c r="E7" s="68" t="s">
        <v>214</v>
      </c>
      <c r="F7" s="69">
        <v>45981</v>
      </c>
      <c r="G7" s="68" t="s">
        <v>215</v>
      </c>
      <c r="H7" s="70" t="s">
        <v>216</v>
      </c>
      <c r="I7" s="69">
        <v>46042</v>
      </c>
      <c r="J7" s="69">
        <v>46073</v>
      </c>
      <c r="K7" s="71">
        <v>500000000</v>
      </c>
      <c r="L7" s="71">
        <v>55000000</v>
      </c>
      <c r="M7" s="71">
        <v>10000000</v>
      </c>
      <c r="N7" s="71">
        <v>545000000</v>
      </c>
      <c r="O7" s="71">
        <v>490000000</v>
      </c>
      <c r="P7" s="72">
        <v>0.25</v>
      </c>
      <c r="Q7" s="72"/>
      <c r="R7" s="72"/>
      <c r="S7" s="71">
        <v>122500000</v>
      </c>
    </row>
    <row r="8" spans="1:19" ht="15.75" customHeight="1" x14ac:dyDescent="0.45">
      <c r="A8" s="63" t="s">
        <v>217</v>
      </c>
      <c r="B8" s="63" t="s">
        <v>218</v>
      </c>
      <c r="C8" s="63" t="s">
        <v>219</v>
      </c>
      <c r="D8" s="63"/>
      <c r="E8" s="63" t="s">
        <v>201</v>
      </c>
      <c r="F8" s="64"/>
      <c r="G8" s="63" t="s">
        <v>220</v>
      </c>
      <c r="H8" s="65" t="s">
        <v>221</v>
      </c>
      <c r="I8" s="64">
        <v>46101</v>
      </c>
      <c r="J8" s="64">
        <v>46132</v>
      </c>
      <c r="K8" s="66">
        <v>180000000</v>
      </c>
      <c r="L8" s="66">
        <v>19800000</v>
      </c>
      <c r="M8" s="66">
        <v>3600000</v>
      </c>
      <c r="N8" s="66">
        <v>196200000</v>
      </c>
      <c r="O8" s="66">
        <v>176400000</v>
      </c>
      <c r="P8" s="67">
        <v>0.4</v>
      </c>
      <c r="Q8" s="67"/>
      <c r="R8" s="67"/>
      <c r="S8" s="66">
        <v>70560000</v>
      </c>
    </row>
    <row r="9" spans="1:19" ht="15.75" customHeight="1" x14ac:dyDescent="0.45">
      <c r="A9" s="68"/>
      <c r="B9" s="68"/>
      <c r="C9" s="68"/>
      <c r="D9" s="68"/>
      <c r="E9" s="68"/>
      <c r="F9" s="69"/>
      <c r="G9" s="68"/>
      <c r="H9" s="70"/>
      <c r="I9" s="69"/>
      <c r="J9" s="69"/>
      <c r="K9" s="71"/>
      <c r="L9" s="71"/>
      <c r="M9" s="71"/>
      <c r="N9" s="71"/>
      <c r="O9" s="71"/>
      <c r="P9" s="72"/>
      <c r="Q9" s="72"/>
      <c r="R9" s="72"/>
      <c r="S9" s="71"/>
    </row>
    <row r="10" spans="1:19" ht="15.75" customHeight="1" x14ac:dyDescent="0.45">
      <c r="A10" s="63"/>
      <c r="B10" s="63"/>
      <c r="C10" s="63"/>
      <c r="D10" s="63"/>
      <c r="E10" s="63"/>
      <c r="F10" s="64"/>
      <c r="G10" s="63"/>
      <c r="H10" s="65"/>
      <c r="I10" s="64"/>
      <c r="J10" s="64"/>
      <c r="K10" s="66"/>
      <c r="L10" s="66"/>
      <c r="M10" s="66"/>
      <c r="N10" s="66"/>
      <c r="O10" s="66"/>
      <c r="P10" s="67"/>
      <c r="Q10" s="67"/>
      <c r="R10" s="67"/>
      <c r="S10" s="66"/>
    </row>
    <row r="11" spans="1:19" ht="15.75" customHeight="1" x14ac:dyDescent="0.45">
      <c r="A11" s="68"/>
      <c r="B11" s="68"/>
      <c r="C11" s="68"/>
      <c r="D11" s="68"/>
      <c r="E11" s="68"/>
      <c r="F11" s="69"/>
      <c r="G11" s="68"/>
      <c r="H11" s="70"/>
      <c r="I11" s="69"/>
      <c r="J11" s="69"/>
      <c r="K11" s="71"/>
      <c r="L11" s="71"/>
      <c r="M11" s="71"/>
      <c r="N11" s="71"/>
      <c r="O11" s="71"/>
      <c r="P11" s="72"/>
      <c r="Q11" s="72"/>
      <c r="R11" s="72"/>
      <c r="S11" s="71"/>
    </row>
    <row r="12" spans="1:19" ht="15.75" customHeight="1" x14ac:dyDescent="0.45">
      <c r="A12" s="63"/>
      <c r="B12" s="63"/>
      <c r="C12" s="63"/>
      <c r="D12" s="63"/>
      <c r="E12" s="63"/>
      <c r="F12" s="64"/>
      <c r="G12" s="63"/>
      <c r="H12" s="65"/>
      <c r="I12" s="64"/>
      <c r="J12" s="64"/>
      <c r="K12" s="66"/>
      <c r="L12" s="66"/>
      <c r="M12" s="66"/>
      <c r="N12" s="66"/>
      <c r="O12" s="66"/>
      <c r="P12" s="67"/>
      <c r="Q12" s="67"/>
      <c r="R12" s="67"/>
      <c r="S12" s="66"/>
    </row>
    <row r="13" spans="1:19" ht="15.75" customHeight="1" x14ac:dyDescent="0.45">
      <c r="A13" s="68"/>
      <c r="B13" s="68"/>
      <c r="C13" s="68"/>
      <c r="D13" s="68"/>
      <c r="E13" s="68"/>
      <c r="F13" s="69"/>
      <c r="G13" s="68"/>
      <c r="H13" s="70"/>
      <c r="I13" s="69"/>
      <c r="J13" s="69"/>
      <c r="K13" s="71"/>
      <c r="L13" s="71"/>
      <c r="M13" s="71"/>
      <c r="N13" s="71"/>
      <c r="O13" s="71"/>
      <c r="P13" s="72"/>
      <c r="Q13" s="72"/>
      <c r="R13" s="72"/>
      <c r="S13" s="71"/>
    </row>
    <row r="14" spans="1:19" ht="15.75" customHeight="1" x14ac:dyDescent="0.45">
      <c r="A14" s="63"/>
      <c r="B14" s="63"/>
      <c r="C14" s="63"/>
      <c r="D14" s="63"/>
      <c r="E14" s="63"/>
      <c r="F14" s="64"/>
      <c r="G14" s="63"/>
      <c r="H14" s="65"/>
      <c r="I14" s="64"/>
      <c r="J14" s="64"/>
      <c r="K14" s="66"/>
      <c r="L14" s="66"/>
      <c r="M14" s="66"/>
      <c r="N14" s="66"/>
      <c r="O14" s="66"/>
      <c r="P14" s="67"/>
      <c r="Q14" s="67"/>
      <c r="R14" s="67"/>
      <c r="S14" s="66"/>
    </row>
    <row r="15" spans="1:19" ht="15.75" customHeight="1" x14ac:dyDescent="0.45">
      <c r="A15" s="68"/>
      <c r="B15" s="68"/>
      <c r="C15" s="68"/>
      <c r="D15" s="68"/>
      <c r="E15" s="68"/>
      <c r="F15" s="69"/>
      <c r="G15" s="68"/>
      <c r="H15" s="70"/>
      <c r="I15" s="69"/>
      <c r="J15" s="69"/>
      <c r="K15" s="71"/>
      <c r="L15" s="71"/>
      <c r="M15" s="71"/>
      <c r="N15" s="71"/>
      <c r="O15" s="71"/>
      <c r="P15" s="72"/>
      <c r="Q15" s="72"/>
      <c r="R15" s="72"/>
      <c r="S15" s="71"/>
    </row>
    <row r="16" spans="1:19" ht="15.75" customHeight="1" x14ac:dyDescent="0.45">
      <c r="A16" s="63"/>
      <c r="B16" s="63"/>
      <c r="C16" s="63"/>
      <c r="D16" s="63"/>
      <c r="E16" s="63"/>
      <c r="F16" s="64"/>
      <c r="G16" s="63"/>
      <c r="H16" s="65"/>
      <c r="I16" s="64"/>
      <c r="J16" s="64"/>
      <c r="K16" s="66"/>
      <c r="L16" s="66"/>
      <c r="M16" s="66"/>
      <c r="N16" s="66"/>
      <c r="O16" s="66"/>
      <c r="P16" s="67"/>
      <c r="Q16" s="67"/>
      <c r="R16" s="67"/>
      <c r="S16" s="66"/>
    </row>
    <row r="17" spans="1:19" ht="15.75" customHeight="1" x14ac:dyDescent="0.45">
      <c r="A17" s="68"/>
      <c r="B17" s="68"/>
      <c r="C17" s="68"/>
      <c r="D17" s="68"/>
      <c r="E17" s="68"/>
      <c r="F17" s="69"/>
      <c r="G17" s="68"/>
      <c r="H17" s="70"/>
      <c r="I17" s="69"/>
      <c r="J17" s="69"/>
      <c r="K17" s="71"/>
      <c r="L17" s="71"/>
      <c r="M17" s="71"/>
      <c r="N17" s="71"/>
      <c r="O17" s="71"/>
      <c r="P17" s="72"/>
      <c r="Q17" s="72"/>
      <c r="R17" s="72"/>
      <c r="S17" s="71"/>
    </row>
    <row r="18" spans="1:19" ht="15.75" customHeight="1" x14ac:dyDescent="0.45">
      <c r="A18" s="63"/>
      <c r="B18" s="63"/>
      <c r="C18" s="63"/>
      <c r="D18" s="63"/>
      <c r="E18" s="63"/>
      <c r="F18" s="64"/>
      <c r="G18" s="63"/>
      <c r="H18" s="65"/>
      <c r="I18" s="64"/>
      <c r="J18" s="64"/>
      <c r="K18" s="66"/>
      <c r="L18" s="66"/>
      <c r="M18" s="66"/>
      <c r="N18" s="66"/>
      <c r="O18" s="66"/>
      <c r="P18" s="67"/>
      <c r="Q18" s="67"/>
      <c r="R18" s="67"/>
      <c r="S18" s="66"/>
    </row>
    <row r="19" spans="1:19" ht="15.75" customHeight="1" x14ac:dyDescent="0.45">
      <c r="A19" s="68"/>
      <c r="B19" s="68"/>
      <c r="C19" s="68"/>
      <c r="D19" s="68"/>
      <c r="E19" s="68"/>
      <c r="F19" s="69"/>
      <c r="G19" s="68"/>
      <c r="H19" s="70"/>
      <c r="I19" s="69"/>
      <c r="J19" s="69"/>
      <c r="K19" s="71"/>
      <c r="L19" s="71"/>
      <c r="M19" s="71"/>
      <c r="N19" s="71"/>
      <c r="O19" s="71"/>
      <c r="P19" s="72"/>
      <c r="Q19" s="72"/>
      <c r="R19" s="72"/>
      <c r="S19" s="71"/>
    </row>
    <row r="20" spans="1:19" ht="15.75" customHeight="1" x14ac:dyDescent="0.45">
      <c r="A20" s="63"/>
      <c r="B20" s="63"/>
      <c r="C20" s="63"/>
      <c r="D20" s="63"/>
      <c r="E20" s="63"/>
      <c r="F20" s="64"/>
      <c r="G20" s="63"/>
      <c r="H20" s="65"/>
      <c r="I20" s="64"/>
      <c r="J20" s="64"/>
      <c r="K20" s="66"/>
      <c r="L20" s="66"/>
      <c r="M20" s="66"/>
      <c r="N20" s="66"/>
      <c r="O20" s="66"/>
      <c r="P20" s="67"/>
      <c r="Q20" s="67"/>
      <c r="R20" s="67"/>
      <c r="S20" s="66"/>
    </row>
    <row r="21" spans="1:19" ht="15.75" customHeight="1" x14ac:dyDescent="0.45">
      <c r="A21" s="68"/>
      <c r="B21" s="68"/>
      <c r="C21" s="68"/>
      <c r="D21" s="68"/>
      <c r="E21" s="68"/>
      <c r="F21" s="69"/>
      <c r="G21" s="68"/>
      <c r="H21" s="70"/>
      <c r="I21" s="69"/>
      <c r="J21" s="69"/>
      <c r="K21" s="71"/>
      <c r="L21" s="71"/>
      <c r="M21" s="71"/>
      <c r="N21" s="71"/>
      <c r="O21" s="71"/>
      <c r="P21" s="72"/>
      <c r="Q21" s="72"/>
      <c r="R21" s="72"/>
      <c r="S21" s="71"/>
    </row>
    <row r="22" spans="1:19" ht="15.75" customHeight="1" x14ac:dyDescent="0.45">
      <c r="A22" s="63"/>
      <c r="B22" s="63"/>
      <c r="C22" s="63"/>
      <c r="D22" s="63"/>
      <c r="E22" s="63"/>
      <c r="F22" s="64"/>
      <c r="G22" s="63"/>
      <c r="H22" s="65"/>
      <c r="I22" s="64"/>
      <c r="J22" s="64"/>
      <c r="K22" s="66"/>
      <c r="L22" s="66"/>
      <c r="M22" s="66"/>
      <c r="N22" s="66"/>
      <c r="O22" s="66"/>
      <c r="P22" s="67"/>
      <c r="Q22" s="67"/>
      <c r="R22" s="67"/>
      <c r="S22" s="66"/>
    </row>
    <row r="23" spans="1:19" ht="15.75" customHeight="1" x14ac:dyDescent="0.45">
      <c r="A23" s="68"/>
      <c r="B23" s="68"/>
      <c r="C23" s="68"/>
      <c r="D23" s="68"/>
      <c r="E23" s="68"/>
      <c r="F23" s="69"/>
      <c r="G23" s="68"/>
      <c r="H23" s="70"/>
      <c r="I23" s="69"/>
      <c r="J23" s="69"/>
      <c r="K23" s="71"/>
      <c r="L23" s="71"/>
      <c r="M23" s="71"/>
      <c r="N23" s="71"/>
      <c r="O23" s="71"/>
      <c r="P23" s="72"/>
      <c r="Q23" s="72"/>
      <c r="R23" s="72"/>
      <c r="S23" s="71"/>
    </row>
    <row r="24" spans="1:19" ht="15.75" customHeight="1" x14ac:dyDescent="0.45">
      <c r="A24" s="63"/>
      <c r="B24" s="63"/>
      <c r="C24" s="63"/>
      <c r="D24" s="63"/>
      <c r="E24" s="63"/>
      <c r="F24" s="64"/>
      <c r="G24" s="63"/>
      <c r="H24" s="65"/>
      <c r="I24" s="64"/>
      <c r="J24" s="64"/>
      <c r="K24" s="66"/>
      <c r="L24" s="66"/>
      <c r="M24" s="66"/>
      <c r="N24" s="66"/>
      <c r="O24" s="66"/>
      <c r="P24" s="67"/>
      <c r="Q24" s="67"/>
      <c r="R24" s="67"/>
      <c r="S24" s="66"/>
    </row>
    <row r="25" spans="1:19" ht="15.75" customHeight="1" x14ac:dyDescent="0.45">
      <c r="A25" s="68"/>
      <c r="B25" s="68"/>
      <c r="C25" s="68"/>
      <c r="D25" s="68"/>
      <c r="E25" s="68"/>
      <c r="F25" s="69"/>
      <c r="G25" s="68"/>
      <c r="H25" s="70"/>
      <c r="I25" s="69"/>
      <c r="J25" s="69"/>
      <c r="K25" s="71"/>
      <c r="L25" s="71"/>
      <c r="M25" s="71"/>
      <c r="N25" s="71"/>
      <c r="O25" s="71"/>
      <c r="P25" s="72"/>
      <c r="Q25" s="72"/>
      <c r="R25" s="72"/>
      <c r="S25" s="71"/>
    </row>
    <row r="26" spans="1:19" ht="15.75" customHeight="1" x14ac:dyDescent="0.45">
      <c r="A26" s="63"/>
      <c r="B26" s="63"/>
      <c r="C26" s="63"/>
      <c r="D26" s="63"/>
      <c r="E26" s="63"/>
      <c r="F26" s="64"/>
      <c r="G26" s="63"/>
      <c r="H26" s="65"/>
      <c r="I26" s="64"/>
      <c r="J26" s="64"/>
      <c r="K26" s="66"/>
      <c r="L26" s="66"/>
      <c r="M26" s="66"/>
      <c r="N26" s="66"/>
      <c r="O26" s="66"/>
      <c r="P26" s="67"/>
      <c r="Q26" s="67"/>
      <c r="R26" s="67"/>
      <c r="S26" s="66"/>
    </row>
    <row r="27" spans="1:19" ht="15.75" customHeight="1" x14ac:dyDescent="0.45">
      <c r="A27" s="68"/>
      <c r="B27" s="68"/>
      <c r="C27" s="68"/>
      <c r="D27" s="68"/>
      <c r="E27" s="68"/>
      <c r="F27" s="69"/>
      <c r="G27" s="68"/>
      <c r="H27" s="70"/>
      <c r="I27" s="69"/>
      <c r="J27" s="69"/>
      <c r="K27" s="71"/>
      <c r="L27" s="71"/>
      <c r="M27" s="71"/>
      <c r="N27" s="71"/>
      <c r="O27" s="71"/>
      <c r="P27" s="72"/>
      <c r="Q27" s="72"/>
      <c r="R27" s="72"/>
      <c r="S27" s="71"/>
    </row>
    <row r="28" spans="1:19" ht="15.75" customHeight="1" x14ac:dyDescent="0.45">
      <c r="A28" s="63"/>
      <c r="B28" s="63"/>
      <c r="C28" s="63"/>
      <c r="D28" s="63"/>
      <c r="E28" s="63"/>
      <c r="F28" s="64"/>
      <c r="G28" s="63"/>
      <c r="H28" s="65"/>
      <c r="I28" s="64"/>
      <c r="J28" s="64"/>
      <c r="K28" s="66"/>
      <c r="L28" s="66"/>
      <c r="M28" s="66"/>
      <c r="N28" s="66"/>
      <c r="O28" s="66"/>
      <c r="P28" s="67"/>
      <c r="Q28" s="67"/>
      <c r="R28" s="67"/>
      <c r="S28" s="66"/>
    </row>
    <row r="29" spans="1:19" ht="15.75" customHeight="1" x14ac:dyDescent="0.45">
      <c r="A29" s="68"/>
      <c r="B29" s="68"/>
      <c r="C29" s="68"/>
      <c r="D29" s="68"/>
      <c r="E29" s="68"/>
      <c r="F29" s="69"/>
      <c r="G29" s="68"/>
      <c r="H29" s="70"/>
      <c r="I29" s="69"/>
      <c r="J29" s="69"/>
      <c r="K29" s="71"/>
      <c r="L29" s="71"/>
      <c r="M29" s="71"/>
      <c r="N29" s="71"/>
      <c r="O29" s="71"/>
      <c r="P29" s="72"/>
      <c r="Q29" s="72"/>
      <c r="R29" s="72"/>
      <c r="S29" s="71"/>
    </row>
    <row r="30" spans="1:19" ht="15.75" customHeight="1" x14ac:dyDescent="0.45">
      <c r="A30" s="63"/>
      <c r="B30" s="63"/>
      <c r="C30" s="63"/>
      <c r="D30" s="63"/>
      <c r="E30" s="63"/>
      <c r="F30" s="64"/>
      <c r="G30" s="63"/>
      <c r="H30" s="65"/>
      <c r="I30" s="64"/>
      <c r="J30" s="64"/>
      <c r="K30" s="66"/>
      <c r="L30" s="66"/>
      <c r="M30" s="66"/>
      <c r="N30" s="66"/>
      <c r="O30" s="66"/>
      <c r="P30" s="67"/>
      <c r="Q30" s="67"/>
      <c r="R30" s="67"/>
      <c r="S30" s="66"/>
    </row>
    <row r="31" spans="1:19" ht="15.75" customHeight="1" x14ac:dyDescent="0.45">
      <c r="A31" s="68"/>
      <c r="B31" s="68"/>
      <c r="C31" s="68"/>
      <c r="D31" s="68"/>
      <c r="E31" s="68"/>
      <c r="F31" s="69"/>
      <c r="G31" s="68"/>
      <c r="H31" s="70"/>
      <c r="I31" s="69"/>
      <c r="J31" s="69"/>
      <c r="K31" s="71"/>
      <c r="L31" s="71"/>
      <c r="M31" s="71"/>
      <c r="N31" s="71"/>
      <c r="O31" s="71"/>
      <c r="P31" s="72"/>
      <c r="Q31" s="72"/>
      <c r="R31" s="72"/>
      <c r="S31" s="71"/>
    </row>
    <row r="32" spans="1:19" ht="15.75" customHeight="1" x14ac:dyDescent="0.45">
      <c r="A32" s="63"/>
      <c r="B32" s="63"/>
      <c r="C32" s="63"/>
      <c r="D32" s="63"/>
      <c r="E32" s="63"/>
      <c r="F32" s="64"/>
      <c r="G32" s="63"/>
      <c r="H32" s="65"/>
      <c r="I32" s="64"/>
      <c r="J32" s="64"/>
      <c r="K32" s="66"/>
      <c r="L32" s="66"/>
      <c r="M32" s="66"/>
      <c r="N32" s="66"/>
      <c r="O32" s="66"/>
      <c r="P32" s="67"/>
      <c r="Q32" s="67"/>
      <c r="R32" s="67"/>
      <c r="S32" s="66"/>
    </row>
    <row r="33" spans="1:19" ht="15.75" customHeight="1" x14ac:dyDescent="0.45">
      <c r="A33" s="68"/>
      <c r="B33" s="68"/>
      <c r="C33" s="68"/>
      <c r="D33" s="68"/>
      <c r="E33" s="68"/>
      <c r="F33" s="69"/>
      <c r="G33" s="68"/>
      <c r="H33" s="70"/>
      <c r="I33" s="69"/>
      <c r="J33" s="69"/>
      <c r="K33" s="71"/>
      <c r="L33" s="71"/>
      <c r="M33" s="71"/>
      <c r="N33" s="71"/>
      <c r="O33" s="71"/>
      <c r="P33" s="72"/>
      <c r="Q33" s="72"/>
      <c r="R33" s="72"/>
      <c r="S33" s="71"/>
    </row>
    <row r="34" spans="1:19" ht="15.75" customHeight="1" x14ac:dyDescent="0.45">
      <c r="A34" s="63"/>
      <c r="B34" s="63"/>
      <c r="C34" s="63"/>
      <c r="D34" s="63"/>
      <c r="E34" s="63"/>
      <c r="F34" s="64"/>
      <c r="G34" s="63"/>
      <c r="H34" s="65"/>
      <c r="I34" s="64"/>
      <c r="J34" s="64"/>
      <c r="K34" s="66"/>
      <c r="L34" s="66"/>
      <c r="M34" s="66"/>
      <c r="N34" s="66"/>
      <c r="O34" s="66"/>
      <c r="P34" s="67"/>
      <c r="Q34" s="67"/>
      <c r="R34" s="67"/>
      <c r="S34" s="66"/>
    </row>
    <row r="35" spans="1:19" ht="15.75" customHeight="1" x14ac:dyDescent="0.45">
      <c r="A35" s="68"/>
      <c r="B35" s="68"/>
      <c r="C35" s="68"/>
      <c r="D35" s="68"/>
      <c r="E35" s="68"/>
      <c r="F35" s="69"/>
      <c r="G35" s="68"/>
      <c r="H35" s="70"/>
      <c r="I35" s="69"/>
      <c r="J35" s="69"/>
      <c r="K35" s="71"/>
      <c r="L35" s="71"/>
      <c r="M35" s="71"/>
      <c r="N35" s="71"/>
      <c r="O35" s="71"/>
      <c r="P35" s="72"/>
      <c r="Q35" s="72"/>
      <c r="R35" s="72"/>
      <c r="S35" s="71"/>
    </row>
    <row r="36" spans="1:19" ht="15.75" customHeight="1" x14ac:dyDescent="0.45">
      <c r="A36" s="63"/>
      <c r="B36" s="63"/>
      <c r="C36" s="63"/>
      <c r="D36" s="63"/>
      <c r="E36" s="63"/>
      <c r="F36" s="64"/>
      <c r="G36" s="63"/>
      <c r="H36" s="65"/>
      <c r="I36" s="64"/>
      <c r="J36" s="64"/>
      <c r="K36" s="66"/>
      <c r="L36" s="66"/>
      <c r="M36" s="66"/>
      <c r="N36" s="66"/>
      <c r="O36" s="66"/>
      <c r="P36" s="67"/>
      <c r="Q36" s="67"/>
      <c r="R36" s="67"/>
      <c r="S36" s="66"/>
    </row>
    <row r="37" spans="1:19" ht="15.75" customHeight="1" x14ac:dyDescent="0.45">
      <c r="A37" s="68"/>
      <c r="B37" s="68"/>
      <c r="C37" s="68"/>
      <c r="D37" s="68"/>
      <c r="E37" s="68"/>
      <c r="F37" s="69"/>
      <c r="G37" s="68"/>
      <c r="H37" s="70"/>
      <c r="I37" s="69"/>
      <c r="J37" s="69"/>
      <c r="K37" s="71"/>
      <c r="L37" s="71"/>
      <c r="M37" s="71"/>
      <c r="N37" s="71"/>
      <c r="O37" s="71"/>
      <c r="P37" s="72"/>
      <c r="Q37" s="72"/>
      <c r="R37" s="72"/>
      <c r="S37" s="71"/>
    </row>
    <row r="38" spans="1:19" ht="15.75" customHeight="1" x14ac:dyDescent="0.45">
      <c r="A38" s="63"/>
      <c r="B38" s="63"/>
      <c r="C38" s="63"/>
      <c r="D38" s="63"/>
      <c r="E38" s="63"/>
      <c r="F38" s="64"/>
      <c r="G38" s="63"/>
      <c r="H38" s="65"/>
      <c r="I38" s="64"/>
      <c r="J38" s="64"/>
      <c r="K38" s="66"/>
      <c r="L38" s="66"/>
      <c r="M38" s="66"/>
      <c r="N38" s="66"/>
      <c r="O38" s="66"/>
      <c r="P38" s="67"/>
      <c r="Q38" s="67"/>
      <c r="R38" s="67"/>
      <c r="S38" s="66"/>
    </row>
    <row r="39" spans="1:19" ht="15.75" customHeight="1" x14ac:dyDescent="0.45">
      <c r="A39" s="68"/>
      <c r="B39" s="68"/>
      <c r="C39" s="68"/>
      <c r="D39" s="68"/>
      <c r="E39" s="68"/>
      <c r="F39" s="69"/>
      <c r="G39" s="68"/>
      <c r="H39" s="70"/>
      <c r="I39" s="69"/>
      <c r="J39" s="69"/>
      <c r="K39" s="71"/>
      <c r="L39" s="71"/>
      <c r="M39" s="71"/>
      <c r="N39" s="71"/>
      <c r="O39" s="71"/>
      <c r="P39" s="72"/>
      <c r="Q39" s="72"/>
      <c r="R39" s="72"/>
      <c r="S39" s="71"/>
    </row>
    <row r="40" spans="1:19" ht="15.75" customHeight="1" x14ac:dyDescent="0.45">
      <c r="A40" s="63"/>
      <c r="B40" s="63"/>
      <c r="C40" s="63"/>
      <c r="D40" s="63"/>
      <c r="E40" s="63"/>
      <c r="F40" s="64"/>
      <c r="G40" s="63"/>
      <c r="H40" s="65"/>
      <c r="I40" s="64"/>
      <c r="J40" s="64"/>
      <c r="K40" s="66"/>
      <c r="L40" s="66"/>
      <c r="M40" s="66"/>
      <c r="N40" s="66"/>
      <c r="O40" s="66"/>
      <c r="P40" s="67"/>
      <c r="Q40" s="67"/>
      <c r="R40" s="67"/>
      <c r="S40" s="66"/>
    </row>
    <row r="41" spans="1:19" ht="15.75" customHeight="1" x14ac:dyDescent="0.45">
      <c r="A41" s="68"/>
      <c r="B41" s="68"/>
      <c r="C41" s="68"/>
      <c r="D41" s="68"/>
      <c r="E41" s="68"/>
      <c r="F41" s="69"/>
      <c r="G41" s="68"/>
      <c r="H41" s="70"/>
      <c r="I41" s="69"/>
      <c r="J41" s="69"/>
      <c r="K41" s="71"/>
      <c r="L41" s="71"/>
      <c r="M41" s="71"/>
      <c r="N41" s="71"/>
      <c r="O41" s="71"/>
      <c r="P41" s="72"/>
      <c r="Q41" s="72"/>
      <c r="R41" s="72"/>
      <c r="S41" s="71"/>
    </row>
    <row r="42" spans="1:19" ht="15.75" customHeight="1" x14ac:dyDescent="0.45">
      <c r="A42" s="63"/>
      <c r="B42" s="63"/>
      <c r="C42" s="63"/>
      <c r="D42" s="63"/>
      <c r="E42" s="63"/>
      <c r="F42" s="64"/>
      <c r="G42" s="63"/>
      <c r="H42" s="65"/>
      <c r="I42" s="64"/>
      <c r="J42" s="64"/>
      <c r="K42" s="66"/>
      <c r="L42" s="66"/>
      <c r="M42" s="66"/>
      <c r="N42" s="66"/>
      <c r="O42" s="66"/>
      <c r="P42" s="67"/>
      <c r="Q42" s="67"/>
      <c r="R42" s="67"/>
      <c r="S42" s="66"/>
    </row>
    <row r="43" spans="1:19" ht="15.75" customHeight="1" x14ac:dyDescent="0.45">
      <c r="A43" s="68"/>
      <c r="B43" s="68"/>
      <c r="C43" s="68"/>
      <c r="D43" s="68"/>
      <c r="E43" s="68"/>
      <c r="F43" s="69"/>
      <c r="G43" s="68"/>
      <c r="H43" s="70"/>
      <c r="I43" s="69"/>
      <c r="J43" s="69"/>
      <c r="K43" s="71"/>
      <c r="L43" s="71"/>
      <c r="M43" s="71"/>
      <c r="N43" s="71"/>
      <c r="O43" s="71"/>
      <c r="P43" s="72"/>
      <c r="Q43" s="72"/>
      <c r="R43" s="72"/>
      <c r="S43" s="71"/>
    </row>
    <row r="44" spans="1:19" ht="15.75" customHeight="1" x14ac:dyDescent="0.45">
      <c r="A44" s="63"/>
      <c r="B44" s="63"/>
      <c r="C44" s="63"/>
      <c r="D44" s="63"/>
      <c r="E44" s="63"/>
      <c r="F44" s="64"/>
      <c r="G44" s="63"/>
      <c r="H44" s="65"/>
      <c r="I44" s="64"/>
      <c r="J44" s="64"/>
      <c r="K44" s="66"/>
      <c r="L44" s="66"/>
      <c r="M44" s="66"/>
      <c r="N44" s="66"/>
      <c r="O44" s="66"/>
      <c r="P44" s="67"/>
      <c r="Q44" s="67"/>
      <c r="R44" s="67"/>
      <c r="S44" s="66"/>
    </row>
    <row r="45" spans="1:19" ht="15.75" customHeight="1" x14ac:dyDescent="0.45">
      <c r="A45" s="68"/>
      <c r="B45" s="68"/>
      <c r="C45" s="68"/>
      <c r="D45" s="68"/>
      <c r="E45" s="68"/>
      <c r="F45" s="69"/>
      <c r="G45" s="68"/>
      <c r="H45" s="70"/>
      <c r="I45" s="69"/>
      <c r="J45" s="69"/>
      <c r="K45" s="71"/>
      <c r="L45" s="71"/>
      <c r="M45" s="71"/>
      <c r="N45" s="71"/>
      <c r="O45" s="71"/>
      <c r="P45" s="72"/>
      <c r="Q45" s="72"/>
      <c r="R45" s="72"/>
      <c r="S45" s="71"/>
    </row>
    <row r="46" spans="1:19" ht="15.75" customHeight="1" x14ac:dyDescent="0.45">
      <c r="A46" s="63"/>
      <c r="B46" s="63"/>
      <c r="C46" s="63"/>
      <c r="D46" s="63"/>
      <c r="E46" s="63"/>
      <c r="F46" s="64"/>
      <c r="G46" s="63"/>
      <c r="H46" s="65"/>
      <c r="I46" s="64"/>
      <c r="J46" s="64"/>
      <c r="K46" s="66"/>
      <c r="L46" s="66"/>
      <c r="M46" s="66"/>
      <c r="N46" s="66"/>
      <c r="O46" s="66"/>
      <c r="P46" s="67"/>
      <c r="Q46" s="67"/>
      <c r="R46" s="67"/>
      <c r="S46" s="66"/>
    </row>
    <row r="47" spans="1:19" ht="15.75" customHeight="1" x14ac:dyDescent="0.45">
      <c r="A47" s="68"/>
      <c r="B47" s="68"/>
      <c r="C47" s="68"/>
      <c r="D47" s="68"/>
      <c r="E47" s="68"/>
      <c r="F47" s="69"/>
      <c r="G47" s="68"/>
      <c r="H47" s="70"/>
      <c r="I47" s="69"/>
      <c r="J47" s="69"/>
      <c r="K47" s="71"/>
      <c r="L47" s="71"/>
      <c r="M47" s="71"/>
      <c r="N47" s="71"/>
      <c r="O47" s="71"/>
      <c r="P47" s="72"/>
      <c r="Q47" s="72"/>
      <c r="R47" s="72"/>
      <c r="S47" s="71"/>
    </row>
    <row r="48" spans="1:19" ht="15.75" customHeight="1" x14ac:dyDescent="0.45">
      <c r="A48" s="63"/>
      <c r="B48" s="63"/>
      <c r="C48" s="63"/>
      <c r="D48" s="63"/>
      <c r="E48" s="63"/>
      <c r="F48" s="64"/>
      <c r="G48" s="63"/>
      <c r="H48" s="65"/>
      <c r="I48" s="64"/>
      <c r="J48" s="64"/>
      <c r="K48" s="66"/>
      <c r="L48" s="66"/>
      <c r="M48" s="66"/>
      <c r="N48" s="66"/>
      <c r="O48" s="66"/>
      <c r="P48" s="67"/>
      <c r="Q48" s="67"/>
      <c r="R48" s="67"/>
      <c r="S48" s="66"/>
    </row>
    <row r="49" spans="1:19" ht="15.75" customHeight="1" x14ac:dyDescent="0.45">
      <c r="A49" s="68"/>
      <c r="B49" s="68"/>
      <c r="C49" s="68"/>
      <c r="D49" s="68"/>
      <c r="E49" s="68"/>
      <c r="F49" s="69"/>
      <c r="G49" s="68"/>
      <c r="H49" s="70"/>
      <c r="I49" s="69"/>
      <c r="J49" s="69"/>
      <c r="K49" s="71"/>
      <c r="L49" s="71"/>
      <c r="M49" s="71"/>
      <c r="N49" s="71"/>
      <c r="O49" s="71"/>
      <c r="P49" s="72"/>
      <c r="Q49" s="72"/>
      <c r="R49" s="72"/>
      <c r="S49" s="71"/>
    </row>
    <row r="50" spans="1:19" ht="15.75" customHeight="1" x14ac:dyDescent="0.45">
      <c r="A50" s="63"/>
      <c r="B50" s="63"/>
      <c r="C50" s="63"/>
      <c r="D50" s="63"/>
      <c r="E50" s="63"/>
      <c r="F50" s="64"/>
      <c r="G50" s="63"/>
      <c r="H50" s="65"/>
      <c r="I50" s="64"/>
      <c r="J50" s="64"/>
      <c r="K50" s="66"/>
      <c r="L50" s="66"/>
      <c r="M50" s="66"/>
      <c r="N50" s="66"/>
      <c r="O50" s="66"/>
      <c r="P50" s="67"/>
      <c r="Q50" s="67"/>
      <c r="R50" s="67"/>
      <c r="S50" s="66"/>
    </row>
    <row r="51" spans="1:19" ht="15.75" customHeight="1" x14ac:dyDescent="0.45">
      <c r="A51" s="68"/>
      <c r="B51" s="68"/>
      <c r="C51" s="68"/>
      <c r="D51" s="68"/>
      <c r="E51" s="68"/>
      <c r="F51" s="69"/>
      <c r="G51" s="68"/>
      <c r="H51" s="70"/>
      <c r="I51" s="69"/>
      <c r="J51" s="69"/>
      <c r="K51" s="71"/>
      <c r="L51" s="71"/>
      <c r="M51" s="71"/>
      <c r="N51" s="71"/>
      <c r="O51" s="71"/>
      <c r="P51" s="72"/>
      <c r="Q51" s="72"/>
      <c r="R51" s="72"/>
      <c r="S51" s="71"/>
    </row>
    <row r="52" spans="1:19" ht="15.75" customHeight="1" x14ac:dyDescent="0.45">
      <c r="A52" s="63"/>
      <c r="B52" s="63"/>
      <c r="C52" s="63"/>
      <c r="D52" s="63"/>
      <c r="E52" s="63"/>
      <c r="F52" s="64"/>
      <c r="G52" s="63"/>
      <c r="H52" s="65"/>
      <c r="I52" s="64"/>
      <c r="J52" s="64"/>
      <c r="K52" s="66"/>
      <c r="L52" s="66"/>
      <c r="M52" s="66"/>
      <c r="N52" s="66"/>
      <c r="O52" s="66"/>
      <c r="P52" s="67"/>
      <c r="Q52" s="67"/>
      <c r="R52" s="67"/>
      <c r="S52" s="66"/>
    </row>
    <row r="53" spans="1:19" ht="15.75" customHeight="1" x14ac:dyDescent="0.45">
      <c r="A53" s="68"/>
      <c r="B53" s="68"/>
      <c r="C53" s="68"/>
      <c r="D53" s="68"/>
      <c r="E53" s="68"/>
      <c r="F53" s="69"/>
      <c r="G53" s="68"/>
      <c r="H53" s="70"/>
      <c r="I53" s="69"/>
      <c r="J53" s="69"/>
      <c r="K53" s="71"/>
      <c r="L53" s="71"/>
      <c r="M53" s="71"/>
      <c r="N53" s="71"/>
      <c r="O53" s="71"/>
      <c r="P53" s="72"/>
      <c r="Q53" s="72"/>
      <c r="R53" s="72"/>
      <c r="S53" s="71"/>
    </row>
    <row r="54" spans="1:19" ht="15.75" customHeight="1" x14ac:dyDescent="0.45">
      <c r="A54" s="63"/>
      <c r="B54" s="63"/>
      <c r="C54" s="63"/>
      <c r="D54" s="63"/>
      <c r="E54" s="63"/>
      <c r="F54" s="64"/>
      <c r="G54" s="63"/>
      <c r="H54" s="65"/>
      <c r="I54" s="64"/>
      <c r="J54" s="64"/>
      <c r="K54" s="66"/>
      <c r="L54" s="66"/>
      <c r="M54" s="66"/>
      <c r="N54" s="66"/>
      <c r="O54" s="66"/>
      <c r="P54" s="67"/>
      <c r="Q54" s="67"/>
      <c r="R54" s="67"/>
      <c r="S54" s="66"/>
    </row>
    <row r="55" spans="1:19" ht="15.75" customHeight="1" x14ac:dyDescent="0.45">
      <c r="A55" s="68"/>
      <c r="B55" s="68"/>
      <c r="C55" s="68"/>
      <c r="D55" s="68"/>
      <c r="E55" s="68"/>
      <c r="F55" s="69"/>
      <c r="G55" s="68"/>
      <c r="H55" s="70"/>
      <c r="I55" s="69"/>
      <c r="J55" s="69"/>
      <c r="K55" s="71"/>
      <c r="L55" s="71"/>
      <c r="M55" s="71"/>
      <c r="N55" s="71"/>
      <c r="O55" s="71"/>
      <c r="P55" s="72"/>
      <c r="Q55" s="72"/>
      <c r="R55" s="72"/>
      <c r="S55" s="71"/>
    </row>
    <row r="56" spans="1:19" ht="15.75" customHeight="1" x14ac:dyDescent="0.45">
      <c r="A56" s="63"/>
      <c r="B56" s="63"/>
      <c r="C56" s="63"/>
      <c r="D56" s="63"/>
      <c r="E56" s="63"/>
      <c r="F56" s="64"/>
      <c r="G56" s="63"/>
      <c r="H56" s="65"/>
      <c r="I56" s="64"/>
      <c r="J56" s="64"/>
      <c r="K56" s="66"/>
      <c r="L56" s="66"/>
      <c r="M56" s="66"/>
      <c r="N56" s="66"/>
      <c r="O56" s="66"/>
      <c r="P56" s="67"/>
      <c r="Q56" s="67"/>
      <c r="R56" s="67"/>
      <c r="S56" s="66"/>
    </row>
    <row r="57" spans="1:19" ht="15.75" customHeight="1" x14ac:dyDescent="0.45">
      <c r="A57" s="68"/>
      <c r="B57" s="68"/>
      <c r="C57" s="68"/>
      <c r="D57" s="68"/>
      <c r="E57" s="68"/>
      <c r="F57" s="69"/>
      <c r="G57" s="68"/>
      <c r="H57" s="70"/>
      <c r="I57" s="69"/>
      <c r="J57" s="69"/>
      <c r="K57" s="71"/>
      <c r="L57" s="71"/>
      <c r="M57" s="71"/>
      <c r="N57" s="71"/>
      <c r="O57" s="71"/>
      <c r="P57" s="72"/>
      <c r="Q57" s="72"/>
      <c r="R57" s="72"/>
      <c r="S57" s="71"/>
    </row>
    <row r="58" spans="1:19" ht="15.75" customHeight="1" x14ac:dyDescent="0.45">
      <c r="A58" s="63"/>
      <c r="B58" s="63"/>
      <c r="C58" s="63"/>
      <c r="D58" s="63"/>
      <c r="E58" s="63"/>
      <c r="F58" s="64"/>
      <c r="G58" s="63"/>
      <c r="H58" s="65"/>
      <c r="I58" s="64"/>
      <c r="J58" s="64"/>
      <c r="K58" s="66"/>
      <c r="L58" s="66"/>
      <c r="M58" s="66"/>
      <c r="N58" s="66"/>
      <c r="O58" s="66"/>
      <c r="P58" s="67"/>
      <c r="Q58" s="67"/>
      <c r="R58" s="67"/>
      <c r="S58" s="66"/>
    </row>
    <row r="59" spans="1:19" ht="15.75" customHeight="1" x14ac:dyDescent="0.45">
      <c r="A59" s="68"/>
      <c r="B59" s="68"/>
      <c r="C59" s="68"/>
      <c r="D59" s="68"/>
      <c r="E59" s="68"/>
      <c r="F59" s="69"/>
      <c r="G59" s="68"/>
      <c r="H59" s="70"/>
      <c r="I59" s="69"/>
      <c r="J59" s="69"/>
      <c r="K59" s="71"/>
      <c r="L59" s="71"/>
      <c r="M59" s="71"/>
      <c r="N59" s="71"/>
      <c r="O59" s="71"/>
      <c r="P59" s="72"/>
      <c r="Q59" s="72"/>
      <c r="R59" s="72"/>
      <c r="S59" s="71"/>
    </row>
    <row r="60" spans="1:19" ht="15.75" customHeight="1" x14ac:dyDescent="0.45">
      <c r="A60" s="63"/>
      <c r="B60" s="63"/>
      <c r="C60" s="63"/>
      <c r="D60" s="63"/>
      <c r="E60" s="63"/>
      <c r="F60" s="64"/>
      <c r="G60" s="63"/>
      <c r="H60" s="65"/>
      <c r="I60" s="64"/>
      <c r="J60" s="64"/>
      <c r="K60" s="66"/>
      <c r="L60" s="66"/>
      <c r="M60" s="66"/>
      <c r="N60" s="66"/>
      <c r="O60" s="66"/>
      <c r="P60" s="67"/>
      <c r="Q60" s="67"/>
      <c r="R60" s="67"/>
      <c r="S60" s="66"/>
    </row>
    <row r="61" spans="1:19" ht="15.75" customHeight="1" x14ac:dyDescent="0.45">
      <c r="A61" s="68"/>
      <c r="B61" s="68"/>
      <c r="C61" s="68"/>
      <c r="D61" s="68"/>
      <c r="E61" s="68"/>
      <c r="F61" s="69"/>
      <c r="G61" s="68"/>
      <c r="H61" s="70"/>
      <c r="I61" s="69"/>
      <c r="J61" s="69"/>
      <c r="K61" s="71"/>
      <c r="L61" s="71"/>
      <c r="M61" s="71"/>
      <c r="N61" s="71"/>
      <c r="O61" s="71"/>
      <c r="P61" s="72"/>
      <c r="Q61" s="72"/>
      <c r="R61" s="72"/>
      <c r="S61" s="71"/>
    </row>
    <row r="62" spans="1:19" ht="15.75" customHeight="1" x14ac:dyDescent="0.45">
      <c r="A62" s="63"/>
      <c r="B62" s="63"/>
      <c r="C62" s="63"/>
      <c r="D62" s="63"/>
      <c r="E62" s="63"/>
      <c r="F62" s="64"/>
      <c r="G62" s="63"/>
      <c r="H62" s="65"/>
      <c r="I62" s="64"/>
      <c r="J62" s="64"/>
      <c r="K62" s="66"/>
      <c r="L62" s="66"/>
      <c r="M62" s="66"/>
      <c r="N62" s="66"/>
      <c r="O62" s="66"/>
      <c r="P62" s="67"/>
      <c r="Q62" s="67"/>
      <c r="R62" s="67"/>
      <c r="S62" s="66"/>
    </row>
    <row r="63" spans="1:19" ht="15.75" customHeight="1" x14ac:dyDescent="0.45">
      <c r="A63" s="68"/>
      <c r="B63" s="68"/>
      <c r="C63" s="68"/>
      <c r="D63" s="68"/>
      <c r="E63" s="68"/>
      <c r="F63" s="69"/>
      <c r="G63" s="68"/>
      <c r="H63" s="70"/>
      <c r="I63" s="69"/>
      <c r="J63" s="69"/>
      <c r="K63" s="71"/>
      <c r="L63" s="71"/>
      <c r="M63" s="71"/>
      <c r="N63" s="71"/>
      <c r="O63" s="71"/>
      <c r="P63" s="72"/>
      <c r="Q63" s="72"/>
      <c r="R63" s="72"/>
      <c r="S63" s="71"/>
    </row>
    <row r="64" spans="1:19" ht="15.75" customHeight="1" x14ac:dyDescent="0.45">
      <c r="A64" s="63"/>
      <c r="B64" s="63"/>
      <c r="C64" s="63"/>
      <c r="D64" s="63"/>
      <c r="E64" s="63"/>
      <c r="F64" s="64"/>
      <c r="G64" s="63"/>
      <c r="H64" s="65"/>
      <c r="I64" s="64"/>
      <c r="J64" s="64"/>
      <c r="K64" s="66"/>
      <c r="L64" s="66"/>
      <c r="M64" s="66"/>
      <c r="N64" s="66"/>
      <c r="O64" s="66"/>
      <c r="P64" s="67"/>
      <c r="Q64" s="67"/>
      <c r="R64" s="67"/>
      <c r="S64" s="66"/>
    </row>
    <row r="65" spans="1:19" ht="15.75" customHeight="1" x14ac:dyDescent="0.45">
      <c r="A65" s="68"/>
      <c r="B65" s="68"/>
      <c r="C65" s="68"/>
      <c r="D65" s="68"/>
      <c r="E65" s="68"/>
      <c r="F65" s="69"/>
      <c r="G65" s="68"/>
      <c r="H65" s="70"/>
      <c r="I65" s="69"/>
      <c r="J65" s="69"/>
      <c r="K65" s="71"/>
      <c r="L65" s="71"/>
      <c r="M65" s="71"/>
      <c r="N65" s="71"/>
      <c r="O65" s="71"/>
      <c r="P65" s="72"/>
      <c r="Q65" s="72"/>
      <c r="R65" s="72"/>
      <c r="S65" s="71"/>
    </row>
    <row r="66" spans="1:19" ht="15.75" customHeight="1" x14ac:dyDescent="0.45">
      <c r="A66" s="63"/>
      <c r="B66" s="63"/>
      <c r="C66" s="63"/>
      <c r="D66" s="63"/>
      <c r="E66" s="63"/>
      <c r="F66" s="64"/>
      <c r="G66" s="63"/>
      <c r="H66" s="65"/>
      <c r="I66" s="64"/>
      <c r="J66" s="64"/>
      <c r="K66" s="66"/>
      <c r="L66" s="66"/>
      <c r="M66" s="66"/>
      <c r="N66" s="66"/>
      <c r="O66" s="66"/>
      <c r="P66" s="67"/>
      <c r="Q66" s="67"/>
      <c r="R66" s="67"/>
      <c r="S66" s="66"/>
    </row>
    <row r="67" spans="1:19" ht="15.75" customHeight="1" x14ac:dyDescent="0.45">
      <c r="A67" s="68"/>
      <c r="B67" s="68"/>
      <c r="C67" s="68"/>
      <c r="D67" s="68"/>
      <c r="E67" s="68"/>
      <c r="F67" s="69"/>
      <c r="G67" s="68"/>
      <c r="H67" s="70"/>
      <c r="I67" s="69"/>
      <c r="J67" s="69"/>
      <c r="K67" s="71"/>
      <c r="L67" s="71"/>
      <c r="M67" s="71"/>
      <c r="N67" s="71"/>
      <c r="O67" s="71"/>
      <c r="P67" s="72"/>
      <c r="Q67" s="72"/>
      <c r="R67" s="72"/>
      <c r="S67" s="71"/>
    </row>
    <row r="68" spans="1:19" ht="15.75" customHeight="1" x14ac:dyDescent="0.45">
      <c r="A68" s="63"/>
      <c r="B68" s="63"/>
      <c r="C68" s="63"/>
      <c r="D68" s="63"/>
      <c r="E68" s="63"/>
      <c r="F68" s="64"/>
      <c r="G68" s="63"/>
      <c r="H68" s="65"/>
      <c r="I68" s="64"/>
      <c r="J68" s="64"/>
      <c r="K68" s="66"/>
      <c r="L68" s="66"/>
      <c r="M68" s="66"/>
      <c r="N68" s="66"/>
      <c r="O68" s="66"/>
      <c r="P68" s="67"/>
      <c r="Q68" s="67"/>
      <c r="R68" s="67"/>
      <c r="S68" s="66"/>
    </row>
    <row r="69" spans="1:19" ht="15.75" customHeight="1" x14ac:dyDescent="0.45">
      <c r="A69" s="68"/>
      <c r="B69" s="68"/>
      <c r="C69" s="68"/>
      <c r="D69" s="68"/>
      <c r="E69" s="68"/>
      <c r="F69" s="69"/>
      <c r="G69" s="68"/>
      <c r="H69" s="70"/>
      <c r="I69" s="69"/>
      <c r="J69" s="69"/>
      <c r="K69" s="71"/>
      <c r="L69" s="71"/>
      <c r="M69" s="71"/>
      <c r="N69" s="71"/>
      <c r="O69" s="71"/>
      <c r="P69" s="72"/>
      <c r="Q69" s="72"/>
      <c r="R69" s="72"/>
      <c r="S69" s="71"/>
    </row>
    <row r="70" spans="1:19" ht="15.75" customHeight="1" x14ac:dyDescent="0.45">
      <c r="A70" s="63"/>
      <c r="B70" s="63"/>
      <c r="C70" s="63"/>
      <c r="D70" s="63"/>
      <c r="E70" s="63"/>
      <c r="F70" s="64"/>
      <c r="G70" s="63"/>
      <c r="H70" s="65"/>
      <c r="I70" s="64"/>
      <c r="J70" s="64"/>
      <c r="K70" s="66"/>
      <c r="L70" s="66"/>
      <c r="M70" s="66"/>
      <c r="N70" s="66"/>
      <c r="O70" s="66"/>
      <c r="P70" s="67"/>
      <c r="Q70" s="67"/>
      <c r="R70" s="67"/>
      <c r="S70" s="66"/>
    </row>
    <row r="71" spans="1:19" ht="15.75" customHeight="1" x14ac:dyDescent="0.45">
      <c r="A71" s="68"/>
      <c r="B71" s="68"/>
      <c r="C71" s="68"/>
      <c r="D71" s="68"/>
      <c r="E71" s="68"/>
      <c r="F71" s="69"/>
      <c r="G71" s="68"/>
      <c r="H71" s="70"/>
      <c r="I71" s="69"/>
      <c r="J71" s="69"/>
      <c r="K71" s="71"/>
      <c r="L71" s="71"/>
      <c r="M71" s="71"/>
      <c r="N71" s="71"/>
      <c r="O71" s="71"/>
      <c r="P71" s="72"/>
      <c r="Q71" s="72"/>
      <c r="R71" s="72"/>
      <c r="S71" s="71"/>
    </row>
    <row r="72" spans="1:19" ht="15.75" customHeight="1" x14ac:dyDescent="0.45">
      <c r="A72" s="63"/>
      <c r="B72" s="63"/>
      <c r="C72" s="63"/>
      <c r="D72" s="63"/>
      <c r="E72" s="63"/>
      <c r="F72" s="64"/>
      <c r="G72" s="63"/>
      <c r="H72" s="65"/>
      <c r="I72" s="64"/>
      <c r="J72" s="64"/>
      <c r="K72" s="66"/>
      <c r="L72" s="66"/>
      <c r="M72" s="66"/>
      <c r="N72" s="66"/>
      <c r="O72" s="66"/>
      <c r="P72" s="67"/>
      <c r="Q72" s="67"/>
      <c r="R72" s="67"/>
      <c r="S72" s="66"/>
    </row>
    <row r="73" spans="1:19" ht="15.75" customHeight="1" x14ac:dyDescent="0.45">
      <c r="A73" s="68"/>
      <c r="B73" s="68"/>
      <c r="C73" s="68"/>
      <c r="D73" s="68"/>
      <c r="E73" s="68"/>
      <c r="F73" s="69"/>
      <c r="G73" s="68"/>
      <c r="H73" s="70"/>
      <c r="I73" s="69"/>
      <c r="J73" s="69"/>
      <c r="K73" s="71"/>
      <c r="L73" s="71"/>
      <c r="M73" s="71"/>
      <c r="N73" s="71"/>
      <c r="O73" s="71"/>
      <c r="P73" s="72"/>
      <c r="Q73" s="72"/>
      <c r="R73" s="72"/>
      <c r="S73" s="71"/>
    </row>
    <row r="74" spans="1:19" ht="15.75" customHeight="1" x14ac:dyDescent="0.45">
      <c r="A74" s="63"/>
      <c r="B74" s="63"/>
      <c r="C74" s="63"/>
      <c r="D74" s="63"/>
      <c r="E74" s="63"/>
      <c r="F74" s="64"/>
      <c r="G74" s="63"/>
      <c r="H74" s="65"/>
      <c r="I74" s="64"/>
      <c r="J74" s="64"/>
      <c r="K74" s="66"/>
      <c r="L74" s="66"/>
      <c r="M74" s="66"/>
      <c r="N74" s="66"/>
      <c r="O74" s="66"/>
      <c r="P74" s="67"/>
      <c r="Q74" s="67"/>
      <c r="R74" s="67"/>
      <c r="S74" s="66"/>
    </row>
    <row r="75" spans="1:19" ht="15.75" customHeight="1" x14ac:dyDescent="0.45">
      <c r="A75" s="68"/>
      <c r="B75" s="68"/>
      <c r="C75" s="68"/>
      <c r="D75" s="68"/>
      <c r="E75" s="68"/>
      <c r="F75" s="69"/>
      <c r="G75" s="68"/>
      <c r="H75" s="70"/>
      <c r="I75" s="69"/>
      <c r="J75" s="69"/>
      <c r="K75" s="71"/>
      <c r="L75" s="71"/>
      <c r="M75" s="71"/>
      <c r="N75" s="71"/>
      <c r="O75" s="71"/>
      <c r="P75" s="72"/>
      <c r="Q75" s="72"/>
      <c r="R75" s="72"/>
      <c r="S75" s="71"/>
    </row>
    <row r="76" spans="1:19" ht="15.75" customHeight="1" x14ac:dyDescent="0.45">
      <c r="A76" s="63"/>
      <c r="B76" s="63"/>
      <c r="C76" s="63"/>
      <c r="D76" s="63"/>
      <c r="E76" s="63"/>
      <c r="F76" s="64"/>
      <c r="G76" s="63"/>
      <c r="H76" s="65"/>
      <c r="I76" s="64"/>
      <c r="J76" s="64"/>
      <c r="K76" s="66"/>
      <c r="L76" s="66"/>
      <c r="M76" s="66"/>
      <c r="N76" s="66"/>
      <c r="O76" s="66"/>
      <c r="P76" s="67"/>
      <c r="Q76" s="67"/>
      <c r="R76" s="67"/>
      <c r="S76" s="66"/>
    </row>
    <row r="77" spans="1:19" ht="15.75" customHeight="1" x14ac:dyDescent="0.45">
      <c r="A77" s="68"/>
      <c r="B77" s="68"/>
      <c r="C77" s="68"/>
      <c r="D77" s="68"/>
      <c r="E77" s="68"/>
      <c r="F77" s="69"/>
      <c r="G77" s="68"/>
      <c r="H77" s="70"/>
      <c r="I77" s="69"/>
      <c r="J77" s="69"/>
      <c r="K77" s="71"/>
      <c r="L77" s="71"/>
      <c r="M77" s="71"/>
      <c r="N77" s="71"/>
      <c r="O77" s="71"/>
      <c r="P77" s="72"/>
      <c r="Q77" s="72"/>
      <c r="R77" s="72"/>
      <c r="S77" s="71"/>
    </row>
    <row r="78" spans="1:19" ht="15.75" customHeight="1" x14ac:dyDescent="0.45">
      <c r="A78" s="63"/>
      <c r="B78" s="63"/>
      <c r="C78" s="63"/>
      <c r="D78" s="63"/>
      <c r="E78" s="63"/>
      <c r="F78" s="64"/>
      <c r="G78" s="63"/>
      <c r="H78" s="65"/>
      <c r="I78" s="64"/>
      <c r="J78" s="64"/>
      <c r="K78" s="66"/>
      <c r="L78" s="66"/>
      <c r="M78" s="66"/>
      <c r="N78" s="66"/>
      <c r="O78" s="66"/>
      <c r="P78" s="67"/>
      <c r="Q78" s="67"/>
      <c r="R78" s="67"/>
      <c r="S78" s="66"/>
    </row>
    <row r="79" spans="1:19" ht="15.75" customHeight="1" x14ac:dyDescent="0.45">
      <c r="A79" s="68"/>
      <c r="B79" s="68"/>
      <c r="C79" s="68"/>
      <c r="D79" s="68"/>
      <c r="E79" s="68"/>
      <c r="F79" s="69"/>
      <c r="G79" s="68"/>
      <c r="H79" s="70"/>
      <c r="I79" s="69"/>
      <c r="J79" s="69"/>
      <c r="K79" s="71"/>
      <c r="L79" s="71"/>
      <c r="M79" s="71"/>
      <c r="N79" s="71"/>
      <c r="O79" s="71"/>
      <c r="P79" s="72"/>
      <c r="Q79" s="72"/>
      <c r="R79" s="72"/>
      <c r="S79" s="71"/>
    </row>
    <row r="80" spans="1:19" ht="15.75" customHeight="1" x14ac:dyDescent="0.45">
      <c r="A80" s="63"/>
      <c r="B80" s="63"/>
      <c r="C80" s="63"/>
      <c r="D80" s="63"/>
      <c r="E80" s="63"/>
      <c r="F80" s="64"/>
      <c r="G80" s="63"/>
      <c r="H80" s="65"/>
      <c r="I80" s="64"/>
      <c r="J80" s="64"/>
      <c r="K80" s="66"/>
      <c r="L80" s="66"/>
      <c r="M80" s="66"/>
      <c r="N80" s="66"/>
      <c r="O80" s="66"/>
      <c r="P80" s="67"/>
      <c r="Q80" s="67"/>
      <c r="R80" s="67"/>
      <c r="S80" s="66"/>
    </row>
    <row r="81" spans="1:19" ht="15.75" customHeight="1" x14ac:dyDescent="0.45">
      <c r="A81" s="68"/>
      <c r="B81" s="68"/>
      <c r="C81" s="68"/>
      <c r="D81" s="68"/>
      <c r="E81" s="68"/>
      <c r="F81" s="69"/>
      <c r="G81" s="68"/>
      <c r="H81" s="70"/>
      <c r="I81" s="69"/>
      <c r="J81" s="69"/>
      <c r="K81" s="71"/>
      <c r="L81" s="71"/>
      <c r="M81" s="71"/>
      <c r="N81" s="71"/>
      <c r="O81" s="71"/>
      <c r="P81" s="72"/>
      <c r="Q81" s="72"/>
      <c r="R81" s="72"/>
      <c r="S81" s="71"/>
    </row>
    <row r="82" spans="1:19" ht="15.75" customHeight="1" x14ac:dyDescent="0.45">
      <c r="A82" s="63"/>
      <c r="B82" s="63"/>
      <c r="C82" s="63"/>
      <c r="D82" s="63"/>
      <c r="E82" s="63"/>
      <c r="F82" s="64"/>
      <c r="G82" s="63"/>
      <c r="H82" s="65"/>
      <c r="I82" s="64"/>
      <c r="J82" s="64"/>
      <c r="K82" s="66"/>
      <c r="L82" s="66"/>
      <c r="M82" s="66"/>
      <c r="N82" s="66"/>
      <c r="O82" s="66"/>
      <c r="P82" s="67"/>
      <c r="Q82" s="67"/>
      <c r="R82" s="67"/>
      <c r="S82" s="66"/>
    </row>
    <row r="83" spans="1:19" ht="15.75" customHeight="1" x14ac:dyDescent="0.45">
      <c r="A83" s="68"/>
      <c r="B83" s="68"/>
      <c r="C83" s="68"/>
      <c r="D83" s="68"/>
      <c r="E83" s="68"/>
      <c r="F83" s="69"/>
      <c r="G83" s="68"/>
      <c r="H83" s="70"/>
      <c r="I83" s="69"/>
      <c r="J83" s="69"/>
      <c r="K83" s="71"/>
      <c r="L83" s="71"/>
      <c r="M83" s="71"/>
      <c r="N83" s="71"/>
      <c r="O83" s="71"/>
      <c r="P83" s="72"/>
      <c r="Q83" s="72"/>
      <c r="R83" s="72"/>
      <c r="S83" s="71"/>
    </row>
    <row r="84" spans="1:19" ht="15.75" customHeight="1" x14ac:dyDescent="0.45">
      <c r="A84" s="63"/>
      <c r="B84" s="63"/>
      <c r="C84" s="63"/>
      <c r="D84" s="63"/>
      <c r="E84" s="63"/>
      <c r="F84" s="64"/>
      <c r="G84" s="63"/>
      <c r="H84" s="65"/>
      <c r="I84" s="64"/>
      <c r="J84" s="64"/>
      <c r="K84" s="66"/>
      <c r="L84" s="66"/>
      <c r="M84" s="66"/>
      <c r="N84" s="66"/>
      <c r="O84" s="66"/>
      <c r="P84" s="67"/>
      <c r="Q84" s="67"/>
      <c r="R84" s="67"/>
      <c r="S84" s="66"/>
    </row>
    <row r="85" spans="1:19" ht="15.75" customHeight="1" x14ac:dyDescent="0.45">
      <c r="A85" s="68"/>
      <c r="B85" s="68"/>
      <c r="C85" s="68"/>
      <c r="D85" s="68"/>
      <c r="E85" s="68"/>
      <c r="F85" s="69"/>
      <c r="G85" s="68"/>
      <c r="H85" s="70"/>
      <c r="I85" s="69"/>
      <c r="J85" s="69"/>
      <c r="K85" s="71"/>
      <c r="L85" s="71"/>
      <c r="M85" s="71"/>
      <c r="N85" s="71"/>
      <c r="O85" s="71"/>
      <c r="P85" s="72"/>
      <c r="Q85" s="72"/>
      <c r="R85" s="72"/>
      <c r="S85" s="71"/>
    </row>
    <row r="86" spans="1:19" ht="15.75" customHeight="1" x14ac:dyDescent="0.45">
      <c r="A86" s="63"/>
      <c r="B86" s="63"/>
      <c r="C86" s="63"/>
      <c r="D86" s="63"/>
      <c r="E86" s="63"/>
      <c r="F86" s="64"/>
      <c r="G86" s="63"/>
      <c r="H86" s="65"/>
      <c r="I86" s="64"/>
      <c r="J86" s="64"/>
      <c r="K86" s="66"/>
      <c r="L86" s="66"/>
      <c r="M86" s="66"/>
      <c r="N86" s="66"/>
      <c r="O86" s="66"/>
      <c r="P86" s="67"/>
      <c r="Q86" s="67"/>
      <c r="R86" s="67"/>
      <c r="S86" s="66"/>
    </row>
    <row r="87" spans="1:19" ht="15.75" customHeight="1" x14ac:dyDescent="0.45">
      <c r="A87" s="68"/>
      <c r="B87" s="68"/>
      <c r="C87" s="68"/>
      <c r="D87" s="68"/>
      <c r="E87" s="68"/>
      <c r="F87" s="69"/>
      <c r="G87" s="68"/>
      <c r="H87" s="70"/>
      <c r="I87" s="69"/>
      <c r="J87" s="69"/>
      <c r="K87" s="71"/>
      <c r="L87" s="71"/>
      <c r="M87" s="71"/>
      <c r="N87" s="71"/>
      <c r="O87" s="71"/>
      <c r="P87" s="72"/>
      <c r="Q87" s="72"/>
      <c r="R87" s="72"/>
      <c r="S87" s="71"/>
    </row>
    <row r="88" spans="1:19" ht="15.75" customHeight="1" x14ac:dyDescent="0.45">
      <c r="A88" s="63"/>
      <c r="B88" s="63"/>
      <c r="C88" s="63"/>
      <c r="D88" s="63"/>
      <c r="E88" s="63"/>
      <c r="F88" s="64"/>
      <c r="G88" s="63"/>
      <c r="H88" s="65"/>
      <c r="I88" s="64"/>
      <c r="J88" s="64"/>
      <c r="K88" s="66"/>
      <c r="L88" s="66"/>
      <c r="M88" s="66"/>
      <c r="N88" s="66"/>
      <c r="O88" s="66"/>
      <c r="P88" s="67"/>
      <c r="Q88" s="67"/>
      <c r="R88" s="67"/>
      <c r="S88" s="66"/>
    </row>
    <row r="89" spans="1:19" ht="15.75" customHeight="1" x14ac:dyDescent="0.45">
      <c r="A89" s="68"/>
      <c r="B89" s="68"/>
      <c r="C89" s="68"/>
      <c r="D89" s="68"/>
      <c r="E89" s="68"/>
      <c r="F89" s="69"/>
      <c r="G89" s="68"/>
      <c r="H89" s="70"/>
      <c r="I89" s="69"/>
      <c r="J89" s="69"/>
      <c r="K89" s="71"/>
      <c r="L89" s="71"/>
      <c r="M89" s="71"/>
      <c r="N89" s="71"/>
      <c r="O89" s="71"/>
      <c r="P89" s="72"/>
      <c r="Q89" s="72"/>
      <c r="R89" s="72"/>
      <c r="S89" s="71"/>
    </row>
    <row r="90" spans="1:19" ht="15.75" customHeight="1" x14ac:dyDescent="0.45">
      <c r="A90" s="63"/>
      <c r="B90" s="63"/>
      <c r="C90" s="63"/>
      <c r="D90" s="63"/>
      <c r="E90" s="63"/>
      <c r="F90" s="64"/>
      <c r="G90" s="63"/>
      <c r="H90" s="65"/>
      <c r="I90" s="64"/>
      <c r="J90" s="64"/>
      <c r="K90" s="66"/>
      <c r="L90" s="66"/>
      <c r="M90" s="66"/>
      <c r="N90" s="66"/>
      <c r="O90" s="66"/>
      <c r="P90" s="67"/>
      <c r="Q90" s="67"/>
      <c r="R90" s="67"/>
      <c r="S90" s="66"/>
    </row>
    <row r="91" spans="1:19" ht="15.75" customHeight="1" x14ac:dyDescent="0.45">
      <c r="A91" s="68"/>
      <c r="B91" s="68"/>
      <c r="C91" s="68"/>
      <c r="D91" s="68"/>
      <c r="E91" s="68"/>
      <c r="F91" s="69"/>
      <c r="G91" s="68"/>
      <c r="H91" s="70"/>
      <c r="I91" s="69"/>
      <c r="J91" s="69"/>
      <c r="K91" s="71"/>
      <c r="L91" s="71"/>
      <c r="M91" s="71"/>
      <c r="N91" s="71"/>
      <c r="O91" s="71"/>
      <c r="P91" s="72"/>
      <c r="Q91" s="72"/>
      <c r="R91" s="72"/>
      <c r="S91" s="71"/>
    </row>
    <row r="92" spans="1:19" ht="15.75" customHeight="1" x14ac:dyDescent="0.45">
      <c r="A92" s="63"/>
      <c r="B92" s="63"/>
      <c r="C92" s="63"/>
      <c r="D92" s="63"/>
      <c r="E92" s="63"/>
      <c r="F92" s="64"/>
      <c r="G92" s="63"/>
      <c r="H92" s="65"/>
      <c r="I92" s="64"/>
      <c r="J92" s="64"/>
      <c r="K92" s="66"/>
      <c r="L92" s="66"/>
      <c r="M92" s="66"/>
      <c r="N92" s="66"/>
      <c r="O92" s="66"/>
      <c r="P92" s="67"/>
      <c r="Q92" s="67"/>
      <c r="R92" s="67"/>
      <c r="S92" s="66"/>
    </row>
    <row r="93" spans="1:19" ht="15.75" customHeight="1" x14ac:dyDescent="0.45">
      <c r="A93" s="68"/>
      <c r="B93" s="68"/>
      <c r="C93" s="68"/>
      <c r="D93" s="68"/>
      <c r="E93" s="68"/>
      <c r="F93" s="69"/>
      <c r="G93" s="68"/>
      <c r="H93" s="70"/>
      <c r="I93" s="69"/>
      <c r="J93" s="69"/>
      <c r="K93" s="71"/>
      <c r="L93" s="71"/>
      <c r="M93" s="71"/>
      <c r="N93" s="71"/>
      <c r="O93" s="71"/>
      <c r="P93" s="72"/>
      <c r="Q93" s="72"/>
      <c r="R93" s="72"/>
      <c r="S93" s="71"/>
    </row>
    <row r="94" spans="1:19" ht="15.75" customHeight="1" x14ac:dyDescent="0.45">
      <c r="A94" s="63"/>
      <c r="B94" s="63"/>
      <c r="C94" s="63"/>
      <c r="D94" s="63"/>
      <c r="E94" s="63"/>
      <c r="F94" s="64"/>
      <c r="G94" s="63"/>
      <c r="H94" s="65"/>
      <c r="I94" s="64"/>
      <c r="J94" s="64"/>
      <c r="K94" s="66"/>
      <c r="L94" s="66"/>
      <c r="M94" s="66"/>
      <c r="N94" s="66"/>
      <c r="O94" s="66"/>
      <c r="P94" s="67"/>
      <c r="Q94" s="67"/>
      <c r="R94" s="67"/>
      <c r="S94" s="66"/>
    </row>
    <row r="95" spans="1:19" ht="15.75" customHeight="1" x14ac:dyDescent="0.45">
      <c r="A95" s="68"/>
      <c r="B95" s="68"/>
      <c r="C95" s="68"/>
      <c r="D95" s="68"/>
      <c r="E95" s="68"/>
      <c r="F95" s="69"/>
      <c r="G95" s="68"/>
      <c r="H95" s="70"/>
      <c r="I95" s="69"/>
      <c r="J95" s="69"/>
      <c r="K95" s="71"/>
      <c r="L95" s="71"/>
      <c r="M95" s="71"/>
      <c r="N95" s="71"/>
      <c r="O95" s="71"/>
      <c r="P95" s="72"/>
      <c r="Q95" s="72"/>
      <c r="R95" s="72"/>
      <c r="S95" s="71"/>
    </row>
    <row r="96" spans="1:19" ht="15.75" customHeight="1" x14ac:dyDescent="0.45">
      <c r="A96" s="63"/>
      <c r="B96" s="63"/>
      <c r="C96" s="63"/>
      <c r="D96" s="63"/>
      <c r="E96" s="63"/>
      <c r="F96" s="64"/>
      <c r="G96" s="63"/>
      <c r="H96" s="65"/>
      <c r="I96" s="64"/>
      <c r="J96" s="64"/>
      <c r="K96" s="66"/>
      <c r="L96" s="66"/>
      <c r="M96" s="66"/>
      <c r="N96" s="66"/>
      <c r="O96" s="66"/>
      <c r="P96" s="67"/>
      <c r="Q96" s="67"/>
      <c r="R96" s="67"/>
      <c r="S96" s="66"/>
    </row>
    <row r="97" spans="1:19" ht="15.75" customHeight="1" x14ac:dyDescent="0.45">
      <c r="A97" s="68"/>
      <c r="B97" s="68"/>
      <c r="C97" s="68"/>
      <c r="D97" s="68"/>
      <c r="E97" s="68"/>
      <c r="F97" s="69"/>
      <c r="G97" s="68"/>
      <c r="H97" s="70"/>
      <c r="I97" s="69"/>
      <c r="J97" s="69"/>
      <c r="K97" s="71"/>
      <c r="L97" s="71"/>
      <c r="M97" s="71"/>
      <c r="N97" s="71"/>
      <c r="O97" s="71"/>
      <c r="P97" s="72"/>
      <c r="Q97" s="72"/>
      <c r="R97" s="72"/>
      <c r="S97" s="71"/>
    </row>
    <row r="98" spans="1:19" ht="15.75" customHeight="1" x14ac:dyDescent="0.45">
      <c r="A98" s="63"/>
      <c r="B98" s="63"/>
      <c r="C98" s="63"/>
      <c r="D98" s="63"/>
      <c r="E98" s="63"/>
      <c r="F98" s="64"/>
      <c r="G98" s="63"/>
      <c r="H98" s="65"/>
      <c r="I98" s="64"/>
      <c r="J98" s="64"/>
      <c r="K98" s="66"/>
      <c r="L98" s="66"/>
      <c r="M98" s="66"/>
      <c r="N98" s="66"/>
      <c r="O98" s="66"/>
      <c r="P98" s="67"/>
      <c r="Q98" s="67"/>
      <c r="R98" s="67"/>
      <c r="S98" s="66"/>
    </row>
    <row r="99" spans="1:19" ht="15.75" customHeight="1" x14ac:dyDescent="0.45">
      <c r="A99" s="68"/>
      <c r="B99" s="68"/>
      <c r="C99" s="68"/>
      <c r="D99" s="68"/>
      <c r="E99" s="68"/>
      <c r="F99" s="69"/>
      <c r="G99" s="68"/>
      <c r="H99" s="70"/>
      <c r="I99" s="69"/>
      <c r="J99" s="69"/>
      <c r="K99" s="71"/>
      <c r="L99" s="71"/>
      <c r="M99" s="71"/>
      <c r="N99" s="71"/>
      <c r="O99" s="71"/>
      <c r="P99" s="72"/>
      <c r="Q99" s="72"/>
      <c r="R99" s="72"/>
      <c r="S99" s="71"/>
    </row>
    <row r="100" spans="1:19" ht="15.75" customHeight="1" x14ac:dyDescent="0.45">
      <c r="A100" s="63"/>
      <c r="B100" s="63"/>
      <c r="C100" s="63"/>
      <c r="D100" s="63"/>
      <c r="E100" s="63"/>
      <c r="F100" s="64"/>
      <c r="G100" s="63"/>
      <c r="H100" s="65"/>
      <c r="I100" s="64"/>
      <c r="J100" s="64"/>
      <c r="K100" s="66"/>
      <c r="L100" s="66"/>
      <c r="M100" s="66"/>
      <c r="N100" s="66"/>
      <c r="O100" s="66"/>
      <c r="P100" s="67"/>
      <c r="Q100" s="67"/>
      <c r="R100" s="67"/>
      <c r="S100" s="66"/>
    </row>
    <row r="101" spans="1:19" ht="15.75" customHeight="1" x14ac:dyDescent="0.45">
      <c r="A101" s="68"/>
      <c r="B101" s="68"/>
      <c r="C101" s="68"/>
      <c r="D101" s="68"/>
      <c r="E101" s="68"/>
      <c r="F101" s="69"/>
      <c r="G101" s="68"/>
      <c r="H101" s="70"/>
      <c r="I101" s="69"/>
      <c r="J101" s="69"/>
      <c r="K101" s="71"/>
      <c r="L101" s="71"/>
      <c r="M101" s="71"/>
      <c r="N101" s="71"/>
      <c r="O101" s="71"/>
      <c r="P101" s="72"/>
      <c r="Q101" s="72"/>
      <c r="R101" s="72"/>
      <c r="S101" s="71"/>
    </row>
    <row r="102" spans="1:19" ht="15.75" customHeight="1" x14ac:dyDescent="0.45">
      <c r="A102" s="63"/>
      <c r="B102" s="63"/>
      <c r="C102" s="63"/>
      <c r="D102" s="63"/>
      <c r="E102" s="63"/>
      <c r="F102" s="64"/>
      <c r="G102" s="63"/>
      <c r="H102" s="65"/>
      <c r="I102" s="64"/>
      <c r="J102" s="64"/>
      <c r="K102" s="66"/>
      <c r="L102" s="66"/>
      <c r="M102" s="66"/>
      <c r="N102" s="66"/>
      <c r="O102" s="66"/>
      <c r="P102" s="67"/>
      <c r="Q102" s="67"/>
      <c r="R102" s="67"/>
      <c r="S102" s="66"/>
    </row>
    <row r="103" spans="1:19" ht="15.75" customHeight="1" x14ac:dyDescent="0.45">
      <c r="A103" s="68"/>
      <c r="B103" s="68"/>
      <c r="C103" s="68"/>
      <c r="D103" s="68"/>
      <c r="E103" s="68"/>
      <c r="F103" s="69"/>
      <c r="G103" s="68"/>
      <c r="H103" s="70"/>
      <c r="I103" s="69"/>
      <c r="J103" s="69"/>
      <c r="K103" s="71"/>
      <c r="L103" s="71"/>
      <c r="M103" s="71"/>
      <c r="N103" s="71"/>
      <c r="O103" s="71"/>
      <c r="P103" s="72"/>
      <c r="Q103" s="72"/>
      <c r="R103" s="72"/>
      <c r="S103" s="71"/>
    </row>
    <row r="104" spans="1:19" ht="15.75" customHeight="1" x14ac:dyDescent="0.45">
      <c r="A104" s="63"/>
      <c r="B104" s="63"/>
      <c r="C104" s="63"/>
      <c r="D104" s="63"/>
      <c r="E104" s="63"/>
      <c r="F104" s="64"/>
      <c r="G104" s="63"/>
      <c r="H104" s="65"/>
      <c r="I104" s="64"/>
      <c r="J104" s="64"/>
      <c r="K104" s="66"/>
      <c r="L104" s="66"/>
      <c r="M104" s="66"/>
      <c r="N104" s="66"/>
      <c r="O104" s="66"/>
      <c r="P104" s="67"/>
      <c r="Q104" s="67"/>
      <c r="R104" s="67"/>
      <c r="S104" s="66"/>
    </row>
    <row r="105" spans="1:19" ht="15.75" customHeight="1" x14ac:dyDescent="0.45">
      <c r="A105" s="68"/>
      <c r="B105" s="68"/>
      <c r="C105" s="68"/>
      <c r="D105" s="68"/>
      <c r="E105" s="68"/>
      <c r="F105" s="69"/>
      <c r="G105" s="68"/>
      <c r="H105" s="70"/>
      <c r="I105" s="69"/>
      <c r="J105" s="69"/>
      <c r="K105" s="71"/>
      <c r="L105" s="71"/>
      <c r="M105" s="71"/>
      <c r="N105" s="71"/>
      <c r="O105" s="71"/>
      <c r="P105" s="72"/>
      <c r="Q105" s="72"/>
      <c r="R105" s="72"/>
      <c r="S105" s="71"/>
    </row>
    <row r="106" spans="1:19" ht="15.75" customHeight="1" x14ac:dyDescent="0.45">
      <c r="A106" s="63"/>
      <c r="B106" s="63"/>
      <c r="C106" s="63"/>
      <c r="D106" s="63"/>
      <c r="E106" s="63"/>
      <c r="F106" s="64"/>
      <c r="G106" s="63"/>
      <c r="H106" s="65"/>
      <c r="I106" s="64"/>
      <c r="J106" s="64"/>
      <c r="K106" s="66"/>
      <c r="L106" s="66"/>
      <c r="M106" s="66"/>
      <c r="N106" s="66"/>
      <c r="O106" s="66"/>
      <c r="P106" s="67"/>
      <c r="Q106" s="67"/>
      <c r="R106" s="67"/>
      <c r="S106" s="66"/>
    </row>
    <row r="107" spans="1:19" ht="15.75" customHeight="1" x14ac:dyDescent="0.45">
      <c r="A107" s="68"/>
      <c r="B107" s="68"/>
      <c r="C107" s="68"/>
      <c r="D107" s="68"/>
      <c r="E107" s="68"/>
      <c r="F107" s="69"/>
      <c r="G107" s="68"/>
      <c r="H107" s="70"/>
      <c r="I107" s="69"/>
      <c r="J107" s="69"/>
      <c r="K107" s="71"/>
      <c r="L107" s="71"/>
      <c r="M107" s="71"/>
      <c r="N107" s="71"/>
      <c r="O107" s="71"/>
      <c r="P107" s="72"/>
      <c r="Q107" s="72"/>
      <c r="R107" s="72"/>
      <c r="S107" s="71"/>
    </row>
    <row r="108" spans="1:19" ht="15.75" customHeight="1" x14ac:dyDescent="0.45">
      <c r="A108" s="63"/>
      <c r="B108" s="63"/>
      <c r="C108" s="63"/>
      <c r="D108" s="63"/>
      <c r="E108" s="63"/>
      <c r="F108" s="64"/>
      <c r="G108" s="63"/>
      <c r="H108" s="65"/>
      <c r="I108" s="64"/>
      <c r="J108" s="64"/>
      <c r="K108" s="66"/>
      <c r="L108" s="66"/>
      <c r="M108" s="66"/>
      <c r="N108" s="66"/>
      <c r="O108" s="66"/>
      <c r="P108" s="67"/>
      <c r="Q108" s="67"/>
      <c r="R108" s="67"/>
      <c r="S108" s="66"/>
    </row>
    <row r="109" spans="1:19" ht="15.75" customHeight="1" x14ac:dyDescent="0.45">
      <c r="A109" s="68"/>
      <c r="B109" s="68"/>
      <c r="C109" s="68"/>
      <c r="D109" s="68"/>
      <c r="E109" s="68"/>
      <c r="F109" s="69"/>
      <c r="G109" s="68"/>
      <c r="H109" s="70"/>
      <c r="I109" s="69"/>
      <c r="J109" s="69"/>
      <c r="K109" s="71"/>
      <c r="L109" s="71"/>
      <c r="M109" s="71"/>
      <c r="N109" s="71"/>
      <c r="O109" s="71"/>
      <c r="P109" s="72"/>
      <c r="Q109" s="72"/>
      <c r="R109" s="72"/>
      <c r="S109" s="71"/>
    </row>
    <row r="110" spans="1:19" ht="15.75" customHeight="1" x14ac:dyDescent="0.45">
      <c r="A110" s="63"/>
      <c r="B110" s="63"/>
      <c r="C110" s="63"/>
      <c r="D110" s="63"/>
      <c r="E110" s="63"/>
      <c r="F110" s="64"/>
      <c r="G110" s="63"/>
      <c r="H110" s="65"/>
      <c r="I110" s="64"/>
      <c r="J110" s="64"/>
      <c r="K110" s="66"/>
      <c r="L110" s="66"/>
      <c r="M110" s="66"/>
      <c r="N110" s="66"/>
      <c r="O110" s="66"/>
      <c r="P110" s="67"/>
      <c r="Q110" s="67"/>
      <c r="R110" s="67"/>
      <c r="S110" s="66"/>
    </row>
    <row r="111" spans="1:19" ht="15.75" customHeight="1" x14ac:dyDescent="0.45">
      <c r="A111" s="68"/>
      <c r="B111" s="68"/>
      <c r="C111" s="68"/>
      <c r="D111" s="68"/>
      <c r="E111" s="68"/>
      <c r="F111" s="69"/>
      <c r="G111" s="68"/>
      <c r="H111" s="70"/>
      <c r="I111" s="69"/>
      <c r="J111" s="69"/>
      <c r="K111" s="71"/>
      <c r="L111" s="71"/>
      <c r="M111" s="71"/>
      <c r="N111" s="71"/>
      <c r="O111" s="71"/>
      <c r="P111" s="72"/>
      <c r="Q111" s="72"/>
      <c r="R111" s="72"/>
      <c r="S111" s="71"/>
    </row>
    <row r="112" spans="1:19" ht="15.75" customHeight="1" x14ac:dyDescent="0.45">
      <c r="A112" s="63"/>
      <c r="B112" s="63"/>
      <c r="C112" s="63"/>
      <c r="D112" s="63"/>
      <c r="E112" s="63"/>
      <c r="F112" s="64"/>
      <c r="G112" s="63"/>
      <c r="H112" s="65"/>
      <c r="I112" s="64"/>
      <c r="J112" s="64"/>
      <c r="K112" s="66"/>
      <c r="L112" s="66"/>
      <c r="M112" s="66"/>
      <c r="N112" s="66"/>
      <c r="O112" s="66"/>
      <c r="P112" s="67"/>
      <c r="Q112" s="67"/>
      <c r="R112" s="67"/>
      <c r="S112" s="66"/>
    </row>
    <row r="113" spans="1:19" ht="15.75" customHeight="1" x14ac:dyDescent="0.45">
      <c r="A113" s="68"/>
      <c r="B113" s="68"/>
      <c r="C113" s="68"/>
      <c r="D113" s="68"/>
      <c r="E113" s="68"/>
      <c r="F113" s="69"/>
      <c r="G113" s="68"/>
      <c r="H113" s="70"/>
      <c r="I113" s="69"/>
      <c r="J113" s="69"/>
      <c r="K113" s="71"/>
      <c r="L113" s="71"/>
      <c r="M113" s="71"/>
      <c r="N113" s="71"/>
      <c r="O113" s="71"/>
      <c r="P113" s="72"/>
      <c r="Q113" s="72"/>
      <c r="R113" s="72"/>
      <c r="S113" s="71"/>
    </row>
    <row r="114" spans="1:19" ht="15.75" customHeight="1" x14ac:dyDescent="0.45">
      <c r="A114" s="63"/>
      <c r="B114" s="63"/>
      <c r="C114" s="63"/>
      <c r="D114" s="63"/>
      <c r="E114" s="63"/>
      <c r="F114" s="64"/>
      <c r="G114" s="63"/>
      <c r="H114" s="65"/>
      <c r="I114" s="64"/>
      <c r="J114" s="64"/>
      <c r="K114" s="66"/>
      <c r="L114" s="66"/>
      <c r="M114" s="66"/>
      <c r="N114" s="66"/>
      <c r="O114" s="66"/>
      <c r="P114" s="67"/>
      <c r="Q114" s="67"/>
      <c r="R114" s="67"/>
      <c r="S114" s="66"/>
    </row>
    <row r="115" spans="1:19" ht="15.75" customHeight="1" x14ac:dyDescent="0.45">
      <c r="A115" s="68"/>
      <c r="B115" s="68"/>
      <c r="C115" s="68"/>
      <c r="D115" s="68"/>
      <c r="E115" s="68"/>
      <c r="F115" s="69"/>
      <c r="G115" s="68"/>
      <c r="H115" s="70"/>
      <c r="I115" s="69"/>
      <c r="J115" s="69"/>
      <c r="K115" s="71"/>
      <c r="L115" s="71"/>
      <c r="M115" s="71"/>
      <c r="N115" s="71"/>
      <c r="O115" s="71"/>
      <c r="P115" s="72"/>
      <c r="Q115" s="72"/>
      <c r="R115" s="72"/>
      <c r="S115" s="71"/>
    </row>
    <row r="116" spans="1:19" ht="15.75" customHeight="1" x14ac:dyDescent="0.45">
      <c r="A116" s="63"/>
      <c r="B116" s="63"/>
      <c r="C116" s="63"/>
      <c r="D116" s="63"/>
      <c r="E116" s="63"/>
      <c r="F116" s="64"/>
      <c r="G116" s="63"/>
      <c r="H116" s="65"/>
      <c r="I116" s="64"/>
      <c r="J116" s="64"/>
      <c r="K116" s="66"/>
      <c r="L116" s="66"/>
      <c r="M116" s="66"/>
      <c r="N116" s="66"/>
      <c r="O116" s="66"/>
      <c r="P116" s="67"/>
      <c r="Q116" s="67"/>
      <c r="R116" s="67"/>
      <c r="S116" s="66"/>
    </row>
    <row r="117" spans="1:19" ht="15.75" customHeight="1" x14ac:dyDescent="0.45">
      <c r="A117" s="68"/>
      <c r="B117" s="68"/>
      <c r="C117" s="68"/>
      <c r="D117" s="68"/>
      <c r="E117" s="68"/>
      <c r="F117" s="69"/>
      <c r="G117" s="68"/>
      <c r="H117" s="70"/>
      <c r="I117" s="69"/>
      <c r="J117" s="69"/>
      <c r="K117" s="71"/>
      <c r="L117" s="71"/>
      <c r="M117" s="71"/>
      <c r="N117" s="71"/>
      <c r="O117" s="71"/>
      <c r="P117" s="72"/>
      <c r="Q117" s="72"/>
      <c r="R117" s="72"/>
      <c r="S117" s="71"/>
    </row>
    <row r="118" spans="1:19" ht="15.75" customHeight="1" x14ac:dyDescent="0.45">
      <c r="A118" s="63"/>
      <c r="B118" s="63"/>
      <c r="C118" s="63"/>
      <c r="D118" s="63"/>
      <c r="E118" s="63"/>
      <c r="F118" s="64"/>
      <c r="G118" s="63"/>
      <c r="H118" s="65"/>
      <c r="I118" s="64"/>
      <c r="J118" s="64"/>
      <c r="K118" s="66"/>
      <c r="L118" s="66"/>
      <c r="M118" s="66"/>
      <c r="N118" s="66"/>
      <c r="O118" s="66"/>
      <c r="P118" s="67"/>
      <c r="Q118" s="67"/>
      <c r="R118" s="67"/>
      <c r="S118" s="66"/>
    </row>
    <row r="119" spans="1:19" ht="15.75" customHeight="1" x14ac:dyDescent="0.45">
      <c r="A119" s="68"/>
      <c r="B119" s="68"/>
      <c r="C119" s="68"/>
      <c r="D119" s="68"/>
      <c r="E119" s="68"/>
      <c r="F119" s="69"/>
      <c r="G119" s="68"/>
      <c r="H119" s="70"/>
      <c r="I119" s="69"/>
      <c r="J119" s="69"/>
      <c r="K119" s="71"/>
      <c r="L119" s="71"/>
      <c r="M119" s="71"/>
      <c r="N119" s="71"/>
      <c r="O119" s="71"/>
      <c r="P119" s="72"/>
      <c r="Q119" s="72"/>
      <c r="R119" s="72"/>
      <c r="S119" s="71"/>
    </row>
    <row r="120" spans="1:19" ht="15.75" customHeight="1" x14ac:dyDescent="0.45">
      <c r="A120" s="63"/>
      <c r="B120" s="63"/>
      <c r="C120" s="63"/>
      <c r="D120" s="63"/>
      <c r="E120" s="63"/>
      <c r="F120" s="64"/>
      <c r="G120" s="63"/>
      <c r="H120" s="65"/>
      <c r="I120" s="64"/>
      <c r="J120" s="64"/>
      <c r="K120" s="66"/>
      <c r="L120" s="66"/>
      <c r="M120" s="66"/>
      <c r="N120" s="66"/>
      <c r="O120" s="66"/>
      <c r="P120" s="67"/>
      <c r="Q120" s="67"/>
      <c r="R120" s="67"/>
      <c r="S120" s="66"/>
    </row>
    <row r="121" spans="1:19" ht="15.75" customHeight="1" x14ac:dyDescent="0.45">
      <c r="A121" s="68"/>
      <c r="B121" s="68"/>
      <c r="C121" s="68"/>
      <c r="D121" s="68"/>
      <c r="E121" s="68"/>
      <c r="F121" s="69"/>
      <c r="G121" s="68"/>
      <c r="H121" s="70"/>
      <c r="I121" s="69"/>
      <c r="J121" s="69"/>
      <c r="K121" s="71"/>
      <c r="L121" s="71"/>
      <c r="M121" s="71"/>
      <c r="N121" s="71"/>
      <c r="O121" s="71"/>
      <c r="P121" s="72"/>
      <c r="Q121" s="72"/>
      <c r="R121" s="72"/>
      <c r="S121" s="71"/>
    </row>
    <row r="122" spans="1:19" ht="15.75" customHeight="1" x14ac:dyDescent="0.45">
      <c r="A122" s="63"/>
      <c r="B122" s="63"/>
      <c r="C122" s="63"/>
      <c r="D122" s="63"/>
      <c r="E122" s="63"/>
      <c r="F122" s="64"/>
      <c r="G122" s="63"/>
      <c r="H122" s="65"/>
      <c r="I122" s="64"/>
      <c r="J122" s="64"/>
      <c r="K122" s="66"/>
      <c r="L122" s="66"/>
      <c r="M122" s="66"/>
      <c r="N122" s="66"/>
      <c r="O122" s="66"/>
      <c r="P122" s="67"/>
      <c r="Q122" s="67"/>
      <c r="R122" s="67"/>
      <c r="S122" s="66"/>
    </row>
    <row r="123" spans="1:19" ht="15.75" customHeight="1" x14ac:dyDescent="0.45">
      <c r="A123" s="68"/>
      <c r="B123" s="68"/>
      <c r="C123" s="68"/>
      <c r="D123" s="68"/>
      <c r="E123" s="68"/>
      <c r="F123" s="69"/>
      <c r="G123" s="68"/>
      <c r="H123" s="70"/>
      <c r="I123" s="69"/>
      <c r="J123" s="69"/>
      <c r="K123" s="71"/>
      <c r="L123" s="71"/>
      <c r="M123" s="71"/>
      <c r="N123" s="71"/>
      <c r="O123" s="71"/>
      <c r="P123" s="72"/>
      <c r="Q123" s="72"/>
      <c r="R123" s="72"/>
      <c r="S123" s="71"/>
    </row>
    <row r="124" spans="1:19" ht="15.75" customHeight="1" x14ac:dyDescent="0.45">
      <c r="A124" s="63"/>
      <c r="B124" s="63"/>
      <c r="C124" s="63"/>
      <c r="D124" s="63"/>
      <c r="E124" s="63"/>
      <c r="F124" s="64"/>
      <c r="G124" s="63"/>
      <c r="H124" s="65"/>
      <c r="I124" s="64"/>
      <c r="J124" s="64"/>
      <c r="K124" s="66"/>
      <c r="L124" s="66"/>
      <c r="M124" s="66"/>
      <c r="N124" s="66"/>
      <c r="O124" s="66"/>
      <c r="P124" s="67"/>
      <c r="Q124" s="67"/>
      <c r="R124" s="67"/>
      <c r="S124" s="66"/>
    </row>
    <row r="125" spans="1:19" ht="15.75" customHeight="1" x14ac:dyDescent="0.45">
      <c r="A125" s="68"/>
      <c r="B125" s="68"/>
      <c r="C125" s="68"/>
      <c r="D125" s="68"/>
      <c r="E125" s="68"/>
      <c r="F125" s="69"/>
      <c r="G125" s="68"/>
      <c r="H125" s="70"/>
      <c r="I125" s="69"/>
      <c r="J125" s="69"/>
      <c r="K125" s="71"/>
      <c r="L125" s="71"/>
      <c r="M125" s="71"/>
      <c r="N125" s="71"/>
      <c r="O125" s="71"/>
      <c r="P125" s="72"/>
      <c r="Q125" s="72"/>
      <c r="R125" s="72"/>
      <c r="S125" s="71"/>
    </row>
    <row r="126" spans="1:19" ht="15.75" customHeight="1" x14ac:dyDescent="0.45">
      <c r="A126" s="63"/>
      <c r="B126" s="63"/>
      <c r="C126" s="63"/>
      <c r="D126" s="63"/>
      <c r="E126" s="63"/>
      <c r="F126" s="64"/>
      <c r="G126" s="63"/>
      <c r="H126" s="65"/>
      <c r="I126" s="64"/>
      <c r="J126" s="64"/>
      <c r="K126" s="66"/>
      <c r="L126" s="66"/>
      <c r="M126" s="66"/>
      <c r="N126" s="66"/>
      <c r="O126" s="66"/>
      <c r="P126" s="67"/>
      <c r="Q126" s="67"/>
      <c r="R126" s="67"/>
      <c r="S126" s="66"/>
    </row>
    <row r="127" spans="1:19" ht="15.75" customHeight="1" x14ac:dyDescent="0.45">
      <c r="A127" s="68"/>
      <c r="B127" s="68"/>
      <c r="C127" s="68"/>
      <c r="D127" s="68"/>
      <c r="E127" s="68"/>
      <c r="F127" s="69"/>
      <c r="G127" s="68"/>
      <c r="H127" s="70"/>
      <c r="I127" s="69"/>
      <c r="J127" s="69"/>
      <c r="K127" s="71"/>
      <c r="L127" s="71"/>
      <c r="M127" s="71"/>
      <c r="N127" s="71"/>
      <c r="O127" s="71"/>
      <c r="P127" s="72"/>
      <c r="Q127" s="72"/>
      <c r="R127" s="72"/>
      <c r="S127" s="71"/>
    </row>
    <row r="128" spans="1:19" ht="15.75" customHeight="1" x14ac:dyDescent="0.45">
      <c r="A128" s="63"/>
      <c r="B128" s="63"/>
      <c r="C128" s="63"/>
      <c r="D128" s="63"/>
      <c r="E128" s="63"/>
      <c r="F128" s="64"/>
      <c r="G128" s="63"/>
      <c r="H128" s="65"/>
      <c r="I128" s="64"/>
      <c r="J128" s="64"/>
      <c r="K128" s="66"/>
      <c r="L128" s="66"/>
      <c r="M128" s="66"/>
      <c r="N128" s="66"/>
      <c r="O128" s="66"/>
      <c r="P128" s="67"/>
      <c r="Q128" s="67"/>
      <c r="R128" s="67"/>
      <c r="S128" s="66"/>
    </row>
    <row r="129" spans="1:19" ht="15.75" customHeight="1" x14ac:dyDescent="0.45">
      <c r="A129" s="68"/>
      <c r="B129" s="68"/>
      <c r="C129" s="68"/>
      <c r="D129" s="68"/>
      <c r="E129" s="68"/>
      <c r="F129" s="69"/>
      <c r="G129" s="68"/>
      <c r="H129" s="70"/>
      <c r="I129" s="69"/>
      <c r="J129" s="69"/>
      <c r="K129" s="71"/>
      <c r="L129" s="71"/>
      <c r="M129" s="71"/>
      <c r="N129" s="71"/>
      <c r="O129" s="71"/>
      <c r="P129" s="72"/>
      <c r="Q129" s="72"/>
      <c r="R129" s="72"/>
      <c r="S129" s="71"/>
    </row>
    <row r="130" spans="1:19" ht="15.75" customHeight="1" x14ac:dyDescent="0.45">
      <c r="A130" s="63"/>
      <c r="B130" s="63"/>
      <c r="C130" s="63"/>
      <c r="D130" s="63"/>
      <c r="E130" s="63"/>
      <c r="F130" s="64"/>
      <c r="G130" s="63"/>
      <c r="H130" s="65"/>
      <c r="I130" s="64"/>
      <c r="J130" s="64"/>
      <c r="K130" s="66"/>
      <c r="L130" s="66"/>
      <c r="M130" s="66"/>
      <c r="N130" s="66"/>
      <c r="O130" s="66"/>
      <c r="P130" s="67"/>
      <c r="Q130" s="67"/>
      <c r="R130" s="67"/>
      <c r="S130" s="66"/>
    </row>
    <row r="131" spans="1:19" ht="15.75" customHeight="1" x14ac:dyDescent="0.45">
      <c r="A131" s="68"/>
      <c r="B131" s="68"/>
      <c r="C131" s="68"/>
      <c r="D131" s="68"/>
      <c r="E131" s="68"/>
      <c r="F131" s="69"/>
      <c r="G131" s="68"/>
      <c r="H131" s="70"/>
      <c r="I131" s="69"/>
      <c r="J131" s="69"/>
      <c r="K131" s="71"/>
      <c r="L131" s="71"/>
      <c r="M131" s="71"/>
      <c r="N131" s="71"/>
      <c r="O131" s="71"/>
      <c r="P131" s="72"/>
      <c r="Q131" s="72"/>
      <c r="R131" s="72"/>
      <c r="S131" s="71"/>
    </row>
    <row r="132" spans="1:19" ht="15.75" customHeight="1" x14ac:dyDescent="0.45">
      <c r="A132" s="63"/>
      <c r="B132" s="63"/>
      <c r="C132" s="63"/>
      <c r="D132" s="63"/>
      <c r="E132" s="63"/>
      <c r="F132" s="64"/>
      <c r="G132" s="63"/>
      <c r="H132" s="65"/>
      <c r="I132" s="64"/>
      <c r="J132" s="64"/>
      <c r="K132" s="66"/>
      <c r="L132" s="66"/>
      <c r="M132" s="66"/>
      <c r="N132" s="66"/>
      <c r="O132" s="66"/>
      <c r="P132" s="67"/>
      <c r="Q132" s="67"/>
      <c r="R132" s="67"/>
      <c r="S132" s="66"/>
    </row>
    <row r="133" spans="1:19" ht="15.75" customHeight="1" x14ac:dyDescent="0.45">
      <c r="A133" s="68"/>
      <c r="B133" s="68"/>
      <c r="C133" s="68"/>
      <c r="D133" s="68"/>
      <c r="E133" s="68"/>
      <c r="F133" s="69"/>
      <c r="G133" s="68"/>
      <c r="H133" s="70"/>
      <c r="I133" s="69"/>
      <c r="J133" s="69"/>
      <c r="K133" s="71"/>
      <c r="L133" s="71"/>
      <c r="M133" s="71"/>
      <c r="N133" s="71"/>
      <c r="O133" s="71"/>
      <c r="P133" s="72"/>
      <c r="Q133" s="72"/>
      <c r="R133" s="72"/>
      <c r="S133" s="71"/>
    </row>
    <row r="134" spans="1:19" ht="15.75" customHeight="1" x14ac:dyDescent="0.45">
      <c r="A134" s="63"/>
      <c r="B134" s="63"/>
      <c r="C134" s="63"/>
      <c r="D134" s="63"/>
      <c r="E134" s="63"/>
      <c r="F134" s="64"/>
      <c r="G134" s="63"/>
      <c r="H134" s="65"/>
      <c r="I134" s="64"/>
      <c r="J134" s="64"/>
      <c r="K134" s="66"/>
      <c r="L134" s="66"/>
      <c r="M134" s="66"/>
      <c r="N134" s="66"/>
      <c r="O134" s="66"/>
      <c r="P134" s="67"/>
      <c r="Q134" s="67"/>
      <c r="R134" s="67"/>
      <c r="S134" s="66"/>
    </row>
    <row r="135" spans="1:19" ht="15.75" customHeight="1" x14ac:dyDescent="0.45">
      <c r="A135" s="68"/>
      <c r="B135" s="68"/>
      <c r="C135" s="68"/>
      <c r="D135" s="68"/>
      <c r="E135" s="68"/>
      <c r="F135" s="69"/>
      <c r="G135" s="68"/>
      <c r="H135" s="70"/>
      <c r="I135" s="69"/>
      <c r="J135" s="69"/>
      <c r="K135" s="71"/>
      <c r="L135" s="71"/>
      <c r="M135" s="71"/>
      <c r="N135" s="71"/>
      <c r="O135" s="71"/>
      <c r="P135" s="72"/>
      <c r="Q135" s="72"/>
      <c r="R135" s="72"/>
      <c r="S135" s="71"/>
    </row>
    <row r="136" spans="1:19" ht="15.75" customHeight="1" x14ac:dyDescent="0.45">
      <c r="A136" s="63"/>
      <c r="B136" s="63"/>
      <c r="C136" s="63"/>
      <c r="D136" s="63"/>
      <c r="E136" s="63"/>
      <c r="F136" s="64"/>
      <c r="G136" s="63"/>
      <c r="H136" s="65"/>
      <c r="I136" s="64"/>
      <c r="J136" s="64"/>
      <c r="K136" s="66"/>
      <c r="L136" s="66"/>
      <c r="M136" s="66"/>
      <c r="N136" s="66"/>
      <c r="O136" s="66"/>
      <c r="P136" s="67"/>
      <c r="Q136" s="67"/>
      <c r="R136" s="67"/>
      <c r="S136" s="66"/>
    </row>
    <row r="137" spans="1:19" ht="15.75" customHeight="1" x14ac:dyDescent="0.45">
      <c r="A137" s="68"/>
      <c r="B137" s="68"/>
      <c r="C137" s="68"/>
      <c r="D137" s="68"/>
      <c r="E137" s="68"/>
      <c r="F137" s="69"/>
      <c r="G137" s="68"/>
      <c r="H137" s="70"/>
      <c r="I137" s="69"/>
      <c r="J137" s="69"/>
      <c r="K137" s="71"/>
      <c r="L137" s="71"/>
      <c r="M137" s="71"/>
      <c r="N137" s="71"/>
      <c r="O137" s="71"/>
      <c r="P137" s="72"/>
      <c r="Q137" s="72"/>
      <c r="R137" s="72"/>
      <c r="S137" s="71"/>
    </row>
    <row r="138" spans="1:19" ht="15.75" customHeight="1" x14ac:dyDescent="0.45">
      <c r="A138" s="63"/>
      <c r="B138" s="63"/>
      <c r="C138" s="63"/>
      <c r="D138" s="63"/>
      <c r="E138" s="63"/>
      <c r="F138" s="64"/>
      <c r="G138" s="63"/>
      <c r="H138" s="65"/>
      <c r="I138" s="64"/>
      <c r="J138" s="64"/>
      <c r="K138" s="66"/>
      <c r="L138" s="66"/>
      <c r="M138" s="66"/>
      <c r="N138" s="66"/>
      <c r="O138" s="66"/>
      <c r="P138" s="67"/>
      <c r="Q138" s="67"/>
      <c r="R138" s="67"/>
      <c r="S138" s="66"/>
    </row>
    <row r="139" spans="1:19" ht="15.75" customHeight="1" x14ac:dyDescent="0.45">
      <c r="A139" s="68"/>
      <c r="B139" s="68"/>
      <c r="C139" s="68"/>
      <c r="D139" s="68"/>
      <c r="E139" s="68"/>
      <c r="F139" s="69"/>
      <c r="G139" s="68"/>
      <c r="H139" s="70"/>
      <c r="I139" s="69"/>
      <c r="J139" s="69"/>
      <c r="K139" s="71"/>
      <c r="L139" s="71"/>
      <c r="M139" s="71"/>
      <c r="N139" s="71"/>
      <c r="O139" s="71"/>
      <c r="P139" s="72"/>
      <c r="Q139" s="72"/>
      <c r="R139" s="72"/>
      <c r="S139" s="71"/>
    </row>
    <row r="140" spans="1:19" ht="15.75" customHeight="1" x14ac:dyDescent="0.45">
      <c r="A140" s="63"/>
      <c r="B140" s="63"/>
      <c r="C140" s="63"/>
      <c r="D140" s="63"/>
      <c r="E140" s="63"/>
      <c r="F140" s="64"/>
      <c r="G140" s="63"/>
      <c r="H140" s="65"/>
      <c r="I140" s="64"/>
      <c r="J140" s="64"/>
      <c r="K140" s="66"/>
      <c r="L140" s="66"/>
      <c r="M140" s="66"/>
      <c r="N140" s="66"/>
      <c r="O140" s="66"/>
      <c r="P140" s="67"/>
      <c r="Q140" s="67"/>
      <c r="R140" s="67"/>
      <c r="S140" s="66"/>
    </row>
    <row r="141" spans="1:19" ht="15.75" customHeight="1" x14ac:dyDescent="0.45">
      <c r="A141" s="68"/>
      <c r="B141" s="68"/>
      <c r="C141" s="68"/>
      <c r="D141" s="68"/>
      <c r="E141" s="68"/>
      <c r="F141" s="69"/>
      <c r="G141" s="68"/>
      <c r="H141" s="70"/>
      <c r="I141" s="69"/>
      <c r="J141" s="69"/>
      <c r="K141" s="71"/>
      <c r="L141" s="71"/>
      <c r="M141" s="71"/>
      <c r="N141" s="71"/>
      <c r="O141" s="71"/>
      <c r="P141" s="72"/>
      <c r="Q141" s="72"/>
      <c r="R141" s="72"/>
      <c r="S141" s="71"/>
    </row>
    <row r="142" spans="1:19" ht="15.75" customHeight="1" x14ac:dyDescent="0.45">
      <c r="A142" s="63"/>
      <c r="B142" s="63"/>
      <c r="C142" s="63"/>
      <c r="D142" s="63"/>
      <c r="E142" s="63"/>
      <c r="F142" s="64"/>
      <c r="G142" s="63"/>
      <c r="H142" s="65"/>
      <c r="I142" s="64"/>
      <c r="J142" s="64"/>
      <c r="K142" s="66"/>
      <c r="L142" s="66"/>
      <c r="M142" s="66"/>
      <c r="N142" s="66"/>
      <c r="O142" s="66"/>
      <c r="P142" s="67"/>
      <c r="Q142" s="67"/>
      <c r="R142" s="67"/>
      <c r="S142" s="66"/>
    </row>
    <row r="143" spans="1:19" ht="15.75" customHeight="1" x14ac:dyDescent="0.45">
      <c r="A143" s="68"/>
      <c r="B143" s="68"/>
      <c r="C143" s="68"/>
      <c r="D143" s="68"/>
      <c r="E143" s="68"/>
      <c r="F143" s="69"/>
      <c r="G143" s="68"/>
      <c r="H143" s="70"/>
      <c r="I143" s="69"/>
      <c r="J143" s="69"/>
      <c r="K143" s="71"/>
      <c r="L143" s="71"/>
      <c r="M143" s="71"/>
      <c r="N143" s="71"/>
      <c r="O143" s="71"/>
      <c r="P143" s="72"/>
      <c r="Q143" s="72"/>
      <c r="R143" s="72"/>
      <c r="S143" s="71"/>
    </row>
    <row r="144" spans="1:19" ht="15.75" customHeight="1" x14ac:dyDescent="0.45">
      <c r="A144" s="63"/>
      <c r="B144" s="63"/>
      <c r="C144" s="63"/>
      <c r="D144" s="63"/>
      <c r="E144" s="63"/>
      <c r="F144" s="64"/>
      <c r="G144" s="63"/>
      <c r="H144" s="65"/>
      <c r="I144" s="64"/>
      <c r="J144" s="64"/>
      <c r="K144" s="66"/>
      <c r="L144" s="66"/>
      <c r="M144" s="66"/>
      <c r="N144" s="66"/>
      <c r="O144" s="66"/>
      <c r="P144" s="67"/>
      <c r="Q144" s="67"/>
      <c r="R144" s="67"/>
      <c r="S144" s="66"/>
    </row>
    <row r="145" spans="1:19" ht="15.75" customHeight="1" x14ac:dyDescent="0.45">
      <c r="A145" s="68"/>
      <c r="B145" s="68"/>
      <c r="C145" s="68"/>
      <c r="D145" s="68"/>
      <c r="E145" s="68"/>
      <c r="F145" s="69"/>
      <c r="G145" s="68"/>
      <c r="H145" s="70"/>
      <c r="I145" s="69"/>
      <c r="J145" s="69"/>
      <c r="K145" s="71"/>
      <c r="L145" s="71"/>
      <c r="M145" s="71"/>
      <c r="N145" s="71"/>
      <c r="O145" s="71"/>
      <c r="P145" s="72"/>
      <c r="Q145" s="72"/>
      <c r="R145" s="72"/>
      <c r="S145" s="71"/>
    </row>
    <row r="146" spans="1:19" ht="15.75" customHeight="1" x14ac:dyDescent="0.45">
      <c r="A146" s="63"/>
      <c r="B146" s="63"/>
      <c r="C146" s="63"/>
      <c r="D146" s="63"/>
      <c r="E146" s="63"/>
      <c r="F146" s="64"/>
      <c r="G146" s="63"/>
      <c r="H146" s="65"/>
      <c r="I146" s="64"/>
      <c r="J146" s="64"/>
      <c r="K146" s="66"/>
      <c r="L146" s="66"/>
      <c r="M146" s="66"/>
      <c r="N146" s="66"/>
      <c r="O146" s="66"/>
      <c r="P146" s="67"/>
      <c r="Q146" s="67"/>
      <c r="R146" s="67"/>
      <c r="S146" s="66"/>
    </row>
    <row r="147" spans="1:19" ht="15.75" customHeight="1" x14ac:dyDescent="0.45">
      <c r="A147" s="68"/>
      <c r="B147" s="68"/>
      <c r="C147" s="68"/>
      <c r="D147" s="68"/>
      <c r="E147" s="68"/>
      <c r="F147" s="69"/>
      <c r="G147" s="68"/>
      <c r="H147" s="70"/>
      <c r="I147" s="69"/>
      <c r="J147" s="69"/>
      <c r="K147" s="71"/>
      <c r="L147" s="71"/>
      <c r="M147" s="71"/>
      <c r="N147" s="71"/>
      <c r="O147" s="71"/>
      <c r="P147" s="72"/>
      <c r="Q147" s="72"/>
      <c r="R147" s="72"/>
      <c r="S147" s="71"/>
    </row>
    <row r="148" spans="1:19" ht="15.75" customHeight="1" x14ac:dyDescent="0.45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</row>
    <row r="149" spans="1:19" ht="15.75" customHeight="1" x14ac:dyDescent="0.45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</row>
    <row r="150" spans="1:19" ht="15.75" customHeight="1" x14ac:dyDescent="0.45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1:19" ht="15.75" customHeight="1" x14ac:dyDescent="0.45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</row>
    <row r="152" spans="1:19" ht="15.75" customHeight="1" x14ac:dyDescent="0.45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</row>
    <row r="153" spans="1:19" ht="15.75" customHeight="1" x14ac:dyDescent="0.45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</row>
    <row r="154" spans="1:19" ht="15.75" customHeight="1" x14ac:dyDescent="0.45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1:19" ht="15.75" customHeight="1" x14ac:dyDescent="0.4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</row>
    <row r="156" spans="1:19" ht="15.75" customHeight="1" x14ac:dyDescent="0.45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</row>
    <row r="157" spans="1:19" ht="15.75" customHeight="1" x14ac:dyDescent="0.45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</row>
    <row r="158" spans="1:19" ht="15.75" customHeight="1" x14ac:dyDescent="0.45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1:19" ht="15.75" customHeight="1" x14ac:dyDescent="0.45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</row>
    <row r="160" spans="1:19" ht="15.75" customHeight="1" x14ac:dyDescent="0.45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</row>
    <row r="161" spans="1:18" ht="15.75" customHeight="1" x14ac:dyDescent="0.45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</row>
    <row r="162" spans="1:18" ht="15.75" customHeight="1" x14ac:dyDescent="0.45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1:18" ht="15.75" customHeight="1" x14ac:dyDescent="0.45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</row>
    <row r="164" spans="1:18" ht="15.75" customHeight="1" x14ac:dyDescent="0.45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</row>
    <row r="165" spans="1:18" ht="15.75" customHeight="1" x14ac:dyDescent="0.4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</row>
    <row r="166" spans="1:18" ht="15.75" customHeight="1" x14ac:dyDescent="0.45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1:18" ht="15.75" customHeight="1" x14ac:dyDescent="0.45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</row>
    <row r="168" spans="1:18" ht="15.75" customHeight="1" x14ac:dyDescent="0.45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</row>
    <row r="169" spans="1:18" ht="15.75" customHeight="1" x14ac:dyDescent="0.45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</row>
    <row r="170" spans="1:18" ht="15.75" customHeight="1" x14ac:dyDescent="0.45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1:18" ht="15.75" customHeight="1" x14ac:dyDescent="0.45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</row>
    <row r="172" spans="1:18" ht="15.75" customHeight="1" x14ac:dyDescent="0.45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</row>
    <row r="173" spans="1:18" ht="15.75" customHeight="1" x14ac:dyDescent="0.45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</row>
    <row r="174" spans="1:18" ht="15.75" customHeight="1" x14ac:dyDescent="0.45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1:18" ht="15.75" customHeight="1" x14ac:dyDescent="0.4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</row>
    <row r="176" spans="1:18" ht="15.75" customHeight="1" x14ac:dyDescent="0.45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</row>
    <row r="177" spans="1:18" ht="15.75" customHeight="1" x14ac:dyDescent="0.45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</row>
    <row r="178" spans="1:18" ht="15.75" customHeight="1" x14ac:dyDescent="0.45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1:18" ht="15.75" customHeight="1" x14ac:dyDescent="0.45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</row>
    <row r="180" spans="1:18" ht="15.75" customHeight="1" x14ac:dyDescent="0.45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</row>
    <row r="181" spans="1:18" ht="15.75" customHeight="1" x14ac:dyDescent="0.45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</row>
    <row r="182" spans="1:18" ht="15.75" customHeight="1" x14ac:dyDescent="0.45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1:18" ht="15.75" customHeight="1" x14ac:dyDescent="0.45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</row>
    <row r="184" spans="1:18" ht="15.75" customHeight="1" x14ac:dyDescent="0.45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</row>
    <row r="185" spans="1:18" ht="15.75" customHeight="1" x14ac:dyDescent="0.4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</row>
    <row r="186" spans="1:18" ht="15.75" customHeight="1" x14ac:dyDescent="0.45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1:18" ht="15.75" customHeight="1" x14ac:dyDescent="0.45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</row>
    <row r="188" spans="1:18" ht="15.75" customHeight="1" x14ac:dyDescent="0.45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</row>
    <row r="189" spans="1:18" ht="15.75" customHeight="1" x14ac:dyDescent="0.45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</row>
    <row r="190" spans="1:18" ht="15.75" customHeight="1" x14ac:dyDescent="0.45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1:18" ht="15.75" customHeight="1" x14ac:dyDescent="0.45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</row>
    <row r="192" spans="1:18" ht="15.75" customHeight="1" x14ac:dyDescent="0.45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</row>
    <row r="193" spans="1:18" ht="15.75" customHeight="1" x14ac:dyDescent="0.45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</row>
    <row r="194" spans="1:18" ht="15.75" customHeight="1" x14ac:dyDescent="0.45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1:18" ht="15.75" customHeight="1" x14ac:dyDescent="0.4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</row>
    <row r="196" spans="1:18" ht="15.75" customHeight="1" x14ac:dyDescent="0.45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</row>
    <row r="197" spans="1:18" ht="15.75" customHeight="1" x14ac:dyDescent="0.45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</row>
    <row r="198" spans="1:18" ht="15.75" customHeight="1" x14ac:dyDescent="0.45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1:18" ht="15.75" customHeight="1" x14ac:dyDescent="0.45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</row>
    <row r="200" spans="1:18" ht="15.75" customHeight="1" x14ac:dyDescent="0.45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</row>
    <row r="201" spans="1:18" ht="15.75" customHeight="1" x14ac:dyDescent="0.45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</row>
    <row r="202" spans="1:18" ht="15.75" customHeight="1" x14ac:dyDescent="0.45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1:18" ht="15.75" customHeight="1" x14ac:dyDescent="0.45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</row>
  </sheetData>
  <autoFilter ref="A3:R3" xr:uid="{00000000-0009-0000-0000-000002000000}"/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08"/>
  <sheetViews>
    <sheetView showGridLines="0" tabSelected="1" zoomScale="57" zoomScaleNormal="57" workbookViewId="0">
      <pane xSplit="1" ySplit="6" topLeftCell="B50" activePane="bottomRight" state="frozen"/>
      <selection pane="topRight" activeCell="B1" sqref="B1"/>
      <selection pane="bottomLeft" activeCell="A50" sqref="A50"/>
      <selection pane="bottomRight" activeCell="O15" sqref="O15"/>
    </sheetView>
  </sheetViews>
  <sheetFormatPr defaultColWidth="8.6640625" defaultRowHeight="14.25" x14ac:dyDescent="0.45"/>
  <cols>
    <col min="1" max="1" width="4" hidden="1" customWidth="1"/>
    <col min="2" max="2" width="12" customWidth="1"/>
    <col min="3" max="3" width="28" customWidth="1"/>
    <col min="4" max="4" width="13" customWidth="1"/>
    <col min="5" max="5" width="12" customWidth="1"/>
    <col min="6" max="6" width="14" customWidth="1"/>
    <col min="7" max="7" width="34" customWidth="1"/>
    <col min="8" max="8" width="11" customWidth="1"/>
    <col min="9" max="9" width="15" customWidth="1"/>
    <col min="10" max="11" width="10" hidden="1" customWidth="1"/>
    <col min="12" max="12" width="11" customWidth="1"/>
    <col min="13" max="13" width="14" customWidth="1"/>
    <col min="14" max="14" width="12" customWidth="1"/>
    <col min="15" max="15" width="18" customWidth="1"/>
    <col min="16" max="16" width="10" customWidth="1"/>
    <col min="17" max="17" width="9" customWidth="1"/>
    <col min="18" max="18" width="13" customWidth="1"/>
    <col min="19" max="19" width="18" customWidth="1"/>
    <col min="20" max="20" width="10" customWidth="1"/>
    <col min="21" max="21" width="9" customWidth="1"/>
    <col min="22" max="22" width="13" customWidth="1"/>
    <col min="23" max="23" width="18" customWidth="1"/>
    <col min="24" max="24" width="10" customWidth="1"/>
    <col min="25" max="25" width="9" customWidth="1"/>
    <col min="26" max="26" width="13" customWidth="1"/>
    <col min="27" max="27" width="18" customWidth="1"/>
    <col min="28" max="28" width="13" customWidth="1"/>
    <col min="29" max="29" width="18" customWidth="1"/>
    <col min="30" max="30" width="13" customWidth="1"/>
    <col min="31" max="31" width="18" customWidth="1"/>
    <col min="32" max="32" width="13" customWidth="1"/>
    <col min="33" max="33" width="17" customWidth="1"/>
    <col min="34" max="34" width="9" customWidth="1"/>
    <col min="35" max="35" width="12" customWidth="1"/>
    <col min="36" max="36" width="17" customWidth="1"/>
    <col min="37" max="37" width="9" customWidth="1"/>
    <col min="38" max="38" width="12" customWidth="1"/>
    <col min="39" max="39" width="17" customWidth="1"/>
    <col min="40" max="40" width="9" customWidth="1"/>
    <col min="41" max="41" width="12" customWidth="1"/>
    <col min="42" max="42" width="9" customWidth="1"/>
    <col min="43" max="45" width="13" customWidth="1"/>
  </cols>
  <sheetData>
    <row r="1" spans="1:48" ht="30" customHeight="1" x14ac:dyDescent="0.45">
      <c r="A1" s="236" t="str">
        <f>Config!C11&amp;" — COMMISSION DATA  |  SALES"</f>
        <v>PT ITSEC ASIA — SALES COMMISSION TRACKER Q1 2026 — COMMISSION DATA  |  SALES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  <c r="AR1" s="236"/>
      <c r="AS1" s="236"/>
      <c r="AT1" s="236"/>
      <c r="AU1" s="236"/>
      <c r="AV1" s="236"/>
    </row>
    <row r="2" spans="1:48" ht="15.75" customHeight="1" x14ac:dyDescent="0.45">
      <c r="A2" s="242" t="str">
        <f>Config!C7&amp;" | Payout: "&amp;TEXT(Config!C10,"DD-MMM-YYYY")&amp;" | PIC: 5% flat (year-end tier recon) | Umbrella Contract: 2.5%×share | PM 2.5% | Mgr 0.7% | Dir 0.3% | Ref 1%"</f>
        <v>Q1 2026 | Payout: 30-Apr-2026 | PIC: 5% flat (year-end tier recon) | Umbrella Contract: 2.5%×share | PM 2.5% | Mgr 0.7% | Dir 0.3% | Ref 1%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</row>
    <row r="3" spans="1:48" ht="15.75" customHeight="1" x14ac:dyDescent="0.45">
      <c r="A3" s="243" t="str">
        <f>"Quarter: "&amp;Config!C7&amp;"  |  "&amp;TEXT(Config!C8,"DD-MMM-YYYY")&amp;" → "&amp;TEXT(Config!C9,"DD-MMM-YYYY")</f>
        <v>Quarter: Q1 2026  |  01-Jan-2026 → 31-Mar-2026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</row>
    <row r="4" spans="1:48" ht="6" customHeight="1" x14ac:dyDescent="0.45"/>
    <row r="5" spans="1:48" ht="15.75" customHeight="1" x14ac:dyDescent="0.45">
      <c r="A5" s="244" t="s">
        <v>222</v>
      </c>
      <c r="B5" s="244"/>
      <c r="C5" s="244"/>
      <c r="D5" s="244"/>
      <c r="E5" s="245" t="s">
        <v>223</v>
      </c>
      <c r="F5" s="245"/>
      <c r="G5" s="245"/>
      <c r="H5" s="245"/>
      <c r="I5" s="245"/>
      <c r="J5" s="245"/>
      <c r="K5" s="245"/>
      <c r="L5" s="245"/>
      <c r="M5" s="245"/>
      <c r="N5" s="75" t="s">
        <v>224</v>
      </c>
      <c r="O5" s="246" t="s">
        <v>225</v>
      </c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7" t="s">
        <v>226</v>
      </c>
      <c r="AB5" s="247"/>
      <c r="AC5" s="248" t="s">
        <v>227</v>
      </c>
      <c r="AD5" s="248"/>
      <c r="AE5" s="244" t="s">
        <v>228</v>
      </c>
      <c r="AF5" s="244"/>
      <c r="AG5" s="249" t="s">
        <v>229</v>
      </c>
      <c r="AH5" s="249"/>
      <c r="AI5" s="249"/>
      <c r="AJ5" s="249"/>
      <c r="AK5" s="249"/>
      <c r="AL5" s="249"/>
      <c r="AM5" s="249"/>
      <c r="AN5" s="249"/>
      <c r="AO5" s="249"/>
      <c r="AP5" s="76" t="s">
        <v>230</v>
      </c>
      <c r="AQ5" s="250" t="s">
        <v>231</v>
      </c>
      <c r="AR5" s="250"/>
      <c r="AS5" s="250"/>
      <c r="AT5" s="77" t="s">
        <v>231</v>
      </c>
    </row>
    <row r="6" spans="1:48" ht="39.75" customHeight="1" x14ac:dyDescent="0.45">
      <c r="A6" s="60" t="s">
        <v>232</v>
      </c>
      <c r="B6" s="60" t="s">
        <v>233</v>
      </c>
      <c r="C6" s="60" t="s">
        <v>234</v>
      </c>
      <c r="D6" s="60" t="s">
        <v>235</v>
      </c>
      <c r="E6" s="60" t="s">
        <v>174</v>
      </c>
      <c r="F6" s="60" t="s">
        <v>236</v>
      </c>
      <c r="G6" s="60" t="s">
        <v>178</v>
      </c>
      <c r="H6" s="60" t="s">
        <v>237</v>
      </c>
      <c r="I6" s="60" t="s">
        <v>238</v>
      </c>
      <c r="J6" s="61" t="s">
        <v>239</v>
      </c>
      <c r="K6" s="61" t="s">
        <v>240</v>
      </c>
      <c r="L6" s="61" t="s">
        <v>241</v>
      </c>
      <c r="M6" s="60" t="s">
        <v>242</v>
      </c>
      <c r="N6" s="60" t="s">
        <v>243</v>
      </c>
      <c r="O6" s="78" t="s">
        <v>244</v>
      </c>
      <c r="P6" s="78" t="s">
        <v>245</v>
      </c>
      <c r="Q6" s="78" t="s">
        <v>246</v>
      </c>
      <c r="R6" s="78" t="s">
        <v>247</v>
      </c>
      <c r="S6" s="78" t="s">
        <v>248</v>
      </c>
      <c r="T6" s="78" t="s">
        <v>249</v>
      </c>
      <c r="U6" s="78" t="s">
        <v>250</v>
      </c>
      <c r="V6" s="78" t="s">
        <v>251</v>
      </c>
      <c r="W6" s="78" t="s">
        <v>252</v>
      </c>
      <c r="X6" s="78" t="s">
        <v>253</v>
      </c>
      <c r="Y6" s="78" t="s">
        <v>254</v>
      </c>
      <c r="Z6" s="78" t="s">
        <v>255</v>
      </c>
      <c r="AA6" s="79" t="s">
        <v>256</v>
      </c>
      <c r="AB6" s="79" t="s">
        <v>257</v>
      </c>
      <c r="AC6" s="80" t="s">
        <v>258</v>
      </c>
      <c r="AD6" s="80" t="s">
        <v>259</v>
      </c>
      <c r="AE6" s="60" t="s">
        <v>260</v>
      </c>
      <c r="AF6" s="60" t="s">
        <v>261</v>
      </c>
      <c r="AG6" s="81" t="s">
        <v>262</v>
      </c>
      <c r="AH6" s="81" t="s">
        <v>263</v>
      </c>
      <c r="AI6" s="81" t="s">
        <v>264</v>
      </c>
      <c r="AJ6" s="81" t="s">
        <v>265</v>
      </c>
      <c r="AK6" s="81" t="s">
        <v>266</v>
      </c>
      <c r="AL6" s="81" t="s">
        <v>267</v>
      </c>
      <c r="AM6" s="81" t="s">
        <v>268</v>
      </c>
      <c r="AN6" s="81" t="s">
        <v>269</v>
      </c>
      <c r="AO6" s="81" t="s">
        <v>270</v>
      </c>
      <c r="AP6" s="61" t="s">
        <v>230</v>
      </c>
      <c r="AQ6" s="82" t="s">
        <v>271</v>
      </c>
      <c r="AR6" s="82" t="s">
        <v>272</v>
      </c>
      <c r="AS6" s="82" t="s">
        <v>273</v>
      </c>
    </row>
    <row r="7" spans="1:48" ht="18" customHeight="1" x14ac:dyDescent="0.45">
      <c r="A7" s="83">
        <v>4</v>
      </c>
      <c r="B7" s="84" t="str">
        <f>IF(A7&lt;&gt;"",INDEX('Raw Data'!$A$4:$A$203,A7-4+1),"")</f>
        <v>Pentest</v>
      </c>
      <c r="C7" s="84" t="str">
        <f>IF(A7&lt;&gt;"",INDEX('Raw Data'!$B$4:$B$203,A7-4+1),"")</f>
        <v>PT Dummy Bank Tbk</v>
      </c>
      <c r="D7" s="84" t="str">
        <f>IF(A7&lt;&gt;"",INDEX('Raw Data'!$C$4:$C$203,A7-4+1),"")</f>
        <v>INV-990001</v>
      </c>
      <c r="E7" s="51" t="str">
        <f>IF(A7&lt;&gt;"",INDEX('Raw Data'!$D$4:$D$203,A7-4+1),"")</f>
        <v>PRO-2026-901</v>
      </c>
      <c r="F7" s="84" t="str">
        <f>IF(A7&lt;&gt;"",INDEX('Raw Data'!$E$4:$E$203,A7-4+1),"")</f>
        <v>Closed</v>
      </c>
      <c r="G7" s="85" t="str">
        <f>IF(A7&lt;&gt;"",INDEX('Raw Data'!$H$4:$H$203,A7-4+1),"")</f>
        <v>Web Application Penetration Test - Phase 1</v>
      </c>
      <c r="H7" s="86">
        <f>IF(A7&lt;&gt;"",INDEX('Raw Data'!$I$4:$I$203,A7-4+1),"")</f>
        <v>46037</v>
      </c>
      <c r="I7" s="87">
        <f>IF(A7&lt;&gt;"",INDEX('Raw Data'!$O$4:$O$203,A7-4+1),"")</f>
        <v>196000000</v>
      </c>
      <c r="J7" s="88">
        <f>IF(A7&lt;&gt;"",IF(INDEX('Raw Data'!$D$4:$D$203,A7-4+1)&lt;&gt;"",INDEX('Raw Data'!$P$4:$P$203,A7-4+1),INDEX('Raw Data'!$R$4:$R$203,A7-4+1)),"")</f>
        <v>0</v>
      </c>
      <c r="K7" s="89">
        <f>IF(A7&lt;&gt;"",IF(INDEX('Raw Data'!$Q$4:$Q$203,A7-4+1)&lt;&gt;"",INDEX('Raw Data'!$Q$4:$Q$203,A7-4+1),""),"")</f>
        <v>0.45</v>
      </c>
      <c r="L7" s="89">
        <f>IF(NOT(A7&lt;&gt;""),"",IF(EXACT(TRIM(F7),"Closed"),IF(K7="",J7,MIN(J7,K7)),J7))</f>
        <v>0</v>
      </c>
      <c r="M7" s="90">
        <f>IF(A7&lt;&gt;"",INDEX('Raw Data'!$S$4:$S$203,A7-4+1),0)</f>
        <v>88200000</v>
      </c>
      <c r="N7" s="91" t="s">
        <v>274</v>
      </c>
      <c r="O7" s="92" t="s">
        <v>147</v>
      </c>
      <c r="P7" s="93">
        <v>1</v>
      </c>
      <c r="Q7" s="94">
        <f>IF(O7="",0,IF(N7="Umbrella Contract",Config!$C$21,Config!$C$20))</f>
        <v>0.05</v>
      </c>
      <c r="R7" s="95">
        <f>IF(O7="",0,M7*Q7*P7)</f>
        <v>4410000</v>
      </c>
      <c r="S7" s="63"/>
      <c r="T7" s="96">
        <v>0</v>
      </c>
      <c r="U7" s="97">
        <f>IF(S7="",0,IF(N7="Umbrella Contract",Config!$C$21,Config!$C$20))</f>
        <v>0</v>
      </c>
      <c r="V7" s="95">
        <f>IF(S7="",0,M7*U7*T7)</f>
        <v>0</v>
      </c>
      <c r="W7" s="63"/>
      <c r="X7" s="96">
        <v>0</v>
      </c>
      <c r="Y7" s="97">
        <f>IF(W7="",0,IF(N7="Umbrella Contract",Config!$C$21,Config!$C$20))</f>
        <v>0</v>
      </c>
      <c r="Z7" s="95">
        <f>IF(W7="",0,M7*Y7*X7)</f>
        <v>0</v>
      </c>
      <c r="AA7" s="98"/>
      <c r="AB7" s="99">
        <f>IF(OR(N7&lt;&gt;"Umbrella Contract",AA7=""),0,M7*Config!$C$22)</f>
        <v>0</v>
      </c>
      <c r="AC7" s="100" t="s">
        <v>141</v>
      </c>
      <c r="AD7" s="101">
        <f>IF(OR(AC7="",AC7=O7,AC7=S7,AC7=W7),0,M7*Config!$C$23)</f>
        <v>617400</v>
      </c>
      <c r="AE7" s="102" t="s">
        <v>139</v>
      </c>
      <c r="AF7" s="103">
        <f>IF(OR(AE7="",AE7=O7,AE7=S7,AE7=W7),0,M7*Config!$C$24)</f>
        <v>264600</v>
      </c>
      <c r="AG7" s="104"/>
      <c r="AH7" s="105">
        <v>0</v>
      </c>
      <c r="AI7" s="106">
        <f>IF(AG7="",0,M7*Config!$C$26*AH7)</f>
        <v>0</v>
      </c>
      <c r="AJ7" s="104"/>
      <c r="AK7" s="105">
        <v>0</v>
      </c>
      <c r="AL7" s="106">
        <f>IF(AJ7="",0,M7*Config!$C$26*AK7)</f>
        <v>0</v>
      </c>
      <c r="AM7" s="104"/>
      <c r="AN7" s="105">
        <v>0</v>
      </c>
      <c r="AO7" s="106">
        <f>IF(AM7="",0,M7*Config!$C$26*AN7)</f>
        <v>0</v>
      </c>
      <c r="AP7" s="107">
        <f>IF(AND(O7="",S7="",W7=""),"",P7+T7+X7)</f>
        <v>1</v>
      </c>
      <c r="AQ7" s="108">
        <f>IF(R7=0,0,R7-IF((R7+V7+Z7)=0,0,(AI7+AL7+AO7)*(R7/(R7+V7+Z7))))</f>
        <v>4410000</v>
      </c>
      <c r="AR7" s="108">
        <f>IF(V7=0,0,V7-IF((R7+V7+Z7)=0,0,(AI7+AL7+AO7)*(V7/(R7+V7+Z7))))</f>
        <v>0</v>
      </c>
      <c r="AS7" s="108">
        <f>IF(Z7=0,0,Z7-IF((R7+V7+Z7)=0,0,(AI7+AL7+AO7)*(Z7/(R7+V7+Z7))))</f>
        <v>0</v>
      </c>
    </row>
    <row r="8" spans="1:48" ht="18" customHeight="1" x14ac:dyDescent="0.45">
      <c r="A8" s="83">
        <v>5</v>
      </c>
      <c r="B8" s="46" t="str">
        <f>IF(A8&lt;&gt;"",INDEX('Raw Data'!$A$4:$A$203,A8-4+1),"")</f>
        <v>Governance</v>
      </c>
      <c r="C8" s="46" t="str">
        <f>IF(A8&lt;&gt;"",INDEX('Raw Data'!$B$4:$B$203,A8-4+1),"")</f>
        <v>PT Dummy Insurance</v>
      </c>
      <c r="D8" s="46" t="str">
        <f>IF(A8&lt;&gt;"",INDEX('Raw Data'!$C$4:$C$203,A8-4+1),"")</f>
        <v>INV-990002</v>
      </c>
      <c r="E8" s="109" t="str">
        <f>IF(A8&lt;&gt;"",INDEX('Raw Data'!$D$4:$D$203,A8-4+1),"")</f>
        <v>PRO-2026-902</v>
      </c>
      <c r="F8" s="46" t="str">
        <f>IF(A8&lt;&gt;"",INDEX('Raw Data'!$E$4:$E$203,A8-4+1),"")</f>
        <v>Active</v>
      </c>
      <c r="G8" s="110" t="str">
        <f>IF(A8&lt;&gt;"",INDEX('Raw Data'!$H$4:$H$203,A8-4+1),"")</f>
        <v>GRC Framework Assessment &amp; Remediation Term 1 - 50%</v>
      </c>
      <c r="H8" s="111">
        <f>IF(A8&lt;&gt;"",INDEX('Raw Data'!$I$4:$I$203,A8-4+1),"")</f>
        <v>46063</v>
      </c>
      <c r="I8" s="112">
        <f>IF(A8&lt;&gt;"",INDEX('Raw Data'!$O$4:$O$203,A8-4+1),"")</f>
        <v>147000000</v>
      </c>
      <c r="J8" s="113">
        <f>IF(A8&lt;&gt;"",IF(INDEX('Raw Data'!$D$4:$D$203,A8-4+1)&lt;&gt;"",INDEX('Raw Data'!$P$4:$P$203,A8-4+1),INDEX('Raw Data'!$R$4:$R$203,A8-4+1)),"")</f>
        <v>0.35</v>
      </c>
      <c r="K8" s="114" t="str">
        <f>IF(A8&lt;&gt;"",IF(INDEX('Raw Data'!$Q$4:$Q$203,A8-4+1)&lt;&gt;"",INDEX('Raw Data'!$Q$4:$Q$203,A8-4+1),""),"")</f>
        <v/>
      </c>
      <c r="L8" s="114">
        <f>IF(NOT(A8&lt;&gt;""),"",IF(EXACT(TRIM(F8),"Closed"),IF(K8="",J8,MIN(J8,K8)),J8))</f>
        <v>0.35</v>
      </c>
      <c r="M8" s="115">
        <f>IF(A8&lt;&gt;"",INDEX('Raw Data'!$S$4:$S$203,A8-4+1),0)</f>
        <v>51450000</v>
      </c>
      <c r="N8" s="116" t="s">
        <v>274</v>
      </c>
      <c r="O8" s="117" t="s">
        <v>149</v>
      </c>
      <c r="P8" s="118">
        <v>1</v>
      </c>
      <c r="Q8" s="119">
        <f>IF(O8="",0,IF(N8="Umbrella Contract",Config!$C$21,Config!$C$20))</f>
        <v>0.05</v>
      </c>
      <c r="R8" s="120">
        <f>IF(O8="",0,M8*Q8*P8)</f>
        <v>2572500</v>
      </c>
      <c r="S8" s="68"/>
      <c r="T8" s="121">
        <v>0</v>
      </c>
      <c r="U8" s="122">
        <f>IF(S8="",0,IF(N8="Umbrella Contract",Config!$C$21,Config!$C$20))</f>
        <v>0</v>
      </c>
      <c r="V8" s="120">
        <f>IF(S8="",0,M8*U8*T8)</f>
        <v>0</v>
      </c>
      <c r="W8" s="68"/>
      <c r="X8" s="121">
        <v>0</v>
      </c>
      <c r="Y8" s="122">
        <f>IF(W8="",0,IF(N8="Umbrella Contract",Config!$C$21,Config!$C$20))</f>
        <v>0</v>
      </c>
      <c r="Z8" s="120">
        <f>IF(W8="",0,M8*Y8*X8)</f>
        <v>0</v>
      </c>
      <c r="AA8" s="123"/>
      <c r="AB8" s="124">
        <f>IF(OR(N8&lt;&gt;"Umbrella Contract",AA8=""),0,M8*Config!$C$22)</f>
        <v>0</v>
      </c>
      <c r="AC8" s="100" t="s">
        <v>141</v>
      </c>
      <c r="AD8" s="125">
        <f>IF(OR(AC8="",AC8=O8,AC8=S8,AC8=W8),0,M8*Config!$C$23)</f>
        <v>360150</v>
      </c>
      <c r="AE8" s="126" t="s">
        <v>139</v>
      </c>
      <c r="AF8" s="127">
        <f>IF(OR(AE8="",AE8=O8,AE8=S8,AE8=W8),0,M8*Config!$C$24)</f>
        <v>154350</v>
      </c>
      <c r="AG8" s="128"/>
      <c r="AH8" s="129">
        <v>0</v>
      </c>
      <c r="AI8" s="130">
        <f>IF(AG8="",0,M8*Config!$C$26*AH8)</f>
        <v>0</v>
      </c>
      <c r="AJ8" s="128"/>
      <c r="AK8" s="129">
        <v>0</v>
      </c>
      <c r="AL8" s="130">
        <f>IF(AJ8="",0,M8*Config!$C$26*AK8)</f>
        <v>0</v>
      </c>
      <c r="AM8" s="128"/>
      <c r="AN8" s="129">
        <v>0</v>
      </c>
      <c r="AO8" s="130">
        <f>IF(AM8="",0,M8*Config!$C$26*AN8)</f>
        <v>0</v>
      </c>
      <c r="AP8" s="107">
        <f>IF(AND(O8="",S8="",W8=""),"",P8+T8+X8)</f>
        <v>1</v>
      </c>
      <c r="AQ8" s="131">
        <f>IF(R8=0,0,R8-IF((R8+V8+Z8)=0,0,(AI8+AL8+AO8)*(R8/(R8+V8+Z8))))</f>
        <v>2572500</v>
      </c>
      <c r="AR8" s="131">
        <f>IF(V8=0,0,V8-IF((R8+V8+Z8)=0,0,(AI8+AL8+AO8)*(V8/(R8+V8+Z8))))</f>
        <v>0</v>
      </c>
      <c r="AS8" s="131">
        <f>IF(Z8=0,0,Z8-IF((R8+V8+Z8)=0,0,(AI8+AL8+AO8)*(Z8/(R8+V8+Z8))))</f>
        <v>0</v>
      </c>
    </row>
    <row r="9" spans="1:48" ht="18" customHeight="1" x14ac:dyDescent="0.45">
      <c r="A9" s="83">
        <v>6</v>
      </c>
      <c r="B9" s="84" t="str">
        <f>IF(A9&lt;&gt;"",INDEX('Raw Data'!$A$4:$A$203,A9-4+1),"")</f>
        <v>Solution</v>
      </c>
      <c r="C9" s="84" t="str">
        <f>IF(A9&lt;&gt;"",INDEX('Raw Data'!$B$4:$B$203,A9-4+1),"")</f>
        <v>PT Dummy Telco</v>
      </c>
      <c r="D9" s="84" t="str">
        <f>IF(A9&lt;&gt;"",INDEX('Raw Data'!$C$4:$C$203,A9-4+1),"")</f>
        <v>INV-990003</v>
      </c>
      <c r="E9" s="51" t="str">
        <f>IF(A9&lt;&gt;"",INDEX('Raw Data'!$D$4:$D$203,A9-4+1),"")</f>
        <v>PRO-2026-903</v>
      </c>
      <c r="F9" s="84" t="str">
        <f>IF(A9&lt;&gt;"",INDEX('Raw Data'!$E$4:$E$203,A9-4+1),"")</f>
        <v>Closed</v>
      </c>
      <c r="G9" s="85" t="str">
        <f>IF(A9&lt;&gt;"",INDEX('Raw Data'!$H$4:$H$203,A9-4+1),"")</f>
        <v>Managed SOC Services - Month 3</v>
      </c>
      <c r="H9" s="86">
        <f>IF(A9&lt;&gt;"",INDEX('Raw Data'!$I$4:$I$203,A9-4+1),"")</f>
        <v>46082</v>
      </c>
      <c r="I9" s="87">
        <f>IF(A9&lt;&gt;"",INDEX('Raw Data'!$O$4:$O$203,A9-4+1),"")</f>
        <v>343000000</v>
      </c>
      <c r="J9" s="88">
        <f>IF(A9&lt;&gt;"",IF(INDEX('Raw Data'!$D$4:$D$203,A9-4+1)&lt;&gt;"",INDEX('Raw Data'!$P$4:$P$203,A9-4+1),INDEX('Raw Data'!$R$4:$R$203,A9-4+1)),"")</f>
        <v>0</v>
      </c>
      <c r="K9" s="89">
        <f>IF(A9&lt;&gt;"",IF(INDEX('Raw Data'!$Q$4:$Q$203,A9-4+1)&lt;&gt;"",INDEX('Raw Data'!$Q$4:$Q$203,A9-4+1),""),"")</f>
        <v>0.3</v>
      </c>
      <c r="L9" s="89">
        <f>IF(NOT(A9&lt;&gt;""),"",IF(EXACT(TRIM(F9),"Closed"),IF(K9="",J9,MIN(J9,K9)),J9))</f>
        <v>0</v>
      </c>
      <c r="M9" s="90">
        <f>IF(A9&lt;&gt;"",INDEX('Raw Data'!$S$4:$S$203,A9-4+1),0)</f>
        <v>102900000</v>
      </c>
      <c r="N9" s="91" t="s">
        <v>275</v>
      </c>
      <c r="O9" s="92" t="s">
        <v>145</v>
      </c>
      <c r="P9" s="93">
        <v>1</v>
      </c>
      <c r="Q9" s="94">
        <f>IF(O9="",0,IF(N9="Umbrella Contract",Config!$C$21,Config!$C$20))</f>
        <v>2.5000000000000001E-2</v>
      </c>
      <c r="R9" s="95">
        <f>IF(O9="",0,M9*Q9*P9)</f>
        <v>2572500</v>
      </c>
      <c r="S9" s="63"/>
      <c r="T9" s="96">
        <v>0</v>
      </c>
      <c r="U9" s="97">
        <f>IF(S9="",0,IF(N9="Umbrella Contract",Config!$C$21,Config!$C$20))</f>
        <v>0</v>
      </c>
      <c r="V9" s="95">
        <f>IF(S9="",0,M9*U9*T9)</f>
        <v>0</v>
      </c>
      <c r="W9" s="63"/>
      <c r="X9" s="96">
        <v>0</v>
      </c>
      <c r="Y9" s="97">
        <f>IF(W9="",0,IF(N9="Umbrella Contract",Config!$C$21,Config!$C$20))</f>
        <v>0</v>
      </c>
      <c r="Z9" s="95">
        <f>IF(W9="",0,M9*Y9*X9)</f>
        <v>0</v>
      </c>
      <c r="AA9" s="98" t="s">
        <v>168</v>
      </c>
      <c r="AB9" s="99">
        <f>IF(OR(N9&lt;&gt;"Umbrella Contract",AA9=""),0,M9*Config!$C$22)</f>
        <v>2572500</v>
      </c>
      <c r="AC9" s="100" t="s">
        <v>141</v>
      </c>
      <c r="AD9" s="101">
        <f>IF(OR(AC9="",AC9=O9,AC9=S9,AC9=W9),0,M9*Config!$C$23)</f>
        <v>720300</v>
      </c>
      <c r="AE9" s="102" t="s">
        <v>139</v>
      </c>
      <c r="AF9" s="103">
        <f>IF(OR(AE9="",AE9=O9,AE9=S9,AE9=W9),0,M9*Config!$C$24)</f>
        <v>308700</v>
      </c>
      <c r="AG9" s="104"/>
      <c r="AH9" s="105">
        <v>0</v>
      </c>
      <c r="AI9" s="106">
        <f>IF(AG9="",0,M9*Config!$C$26*AH9)</f>
        <v>0</v>
      </c>
      <c r="AJ9" s="104"/>
      <c r="AK9" s="105">
        <v>0</v>
      </c>
      <c r="AL9" s="106">
        <f>IF(AJ9="",0,M9*Config!$C$26*AK9)</f>
        <v>0</v>
      </c>
      <c r="AM9" s="104"/>
      <c r="AN9" s="105">
        <v>0</v>
      </c>
      <c r="AO9" s="106">
        <f>IF(AM9="",0,M9*Config!$C$26*AN9)</f>
        <v>0</v>
      </c>
      <c r="AP9" s="107">
        <f>IF(AND(O9="",S9="",W9=""),"",P9+T9+X9)</f>
        <v>1</v>
      </c>
      <c r="AQ9" s="108">
        <f>IF(R9=0,0,R9-IF((R9+V9+Z9)=0,0,(AI9+AL9+AO9)*(R9/(R9+V9+Z9))))</f>
        <v>2572500</v>
      </c>
      <c r="AR9" s="108">
        <f>IF(V9=0,0,V9-IF((R9+V9+Z9)=0,0,(AI9+AL9+AO9)*(V9/(R9+V9+Z9))))</f>
        <v>0</v>
      </c>
      <c r="AS9" s="108">
        <f>IF(Z9=0,0,Z9-IF((R9+V9+Z9)=0,0,(AI9+AL9+AO9)*(Z9/(R9+V9+Z9))))</f>
        <v>0</v>
      </c>
    </row>
    <row r="10" spans="1:48" ht="18" customHeight="1" x14ac:dyDescent="0.45">
      <c r="A10" s="83">
        <v>7</v>
      </c>
      <c r="B10" s="46" t="str">
        <f>IF(A10&lt;&gt;"",INDEX('Raw Data'!$A$4:$A$203,A10-4+1),"")</f>
        <v>MSS</v>
      </c>
      <c r="C10" s="46" t="str">
        <f>IF(A10&lt;&gt;"",INDEX('Raw Data'!$B$4:$B$203,A10-4+1),"")</f>
        <v>PT Dummy Energy</v>
      </c>
      <c r="D10" s="46" t="str">
        <f>IF(A10&lt;&gt;"",INDEX('Raw Data'!$C$4:$C$203,A10-4+1),"")</f>
        <v>INV-990004</v>
      </c>
      <c r="E10" s="109" t="str">
        <f>IF(A10&lt;&gt;"",INDEX('Raw Data'!$D$4:$D$203,A10-4+1),"")</f>
        <v>PRO-2026-904</v>
      </c>
      <c r="F10" s="46" t="str">
        <f>IF(A10&lt;&gt;"",INDEX('Raw Data'!$E$4:$E$203,A10-4+1),"")</f>
        <v>Closed - Missing Orange</v>
      </c>
      <c r="G10" s="110" t="str">
        <f>IF(A10&lt;&gt;"",INDEX('Raw Data'!$H$4:$H$203,A10-4+1),"")</f>
        <v>Vulnerability Assessment &amp; License Renewal</v>
      </c>
      <c r="H10" s="111">
        <f>IF(A10&lt;&gt;"",INDEX('Raw Data'!$I$4:$I$203,A10-4+1),"")</f>
        <v>46042</v>
      </c>
      <c r="I10" s="112">
        <f>IF(A10&lt;&gt;"",INDEX('Raw Data'!$O$4:$O$203,A10-4+1),"")</f>
        <v>490000000</v>
      </c>
      <c r="J10" s="113">
        <f>IF(A10&lt;&gt;"",IF(INDEX('Raw Data'!$D$4:$D$203,A10-4+1)&lt;&gt;"",INDEX('Raw Data'!$P$4:$P$203,A10-4+1),INDEX('Raw Data'!$R$4:$R$203,A10-4+1)),"")</f>
        <v>0.25</v>
      </c>
      <c r="K10" s="114" t="str">
        <f>IF(A10&lt;&gt;"",IF(INDEX('Raw Data'!$Q$4:$Q$203,A10-4+1)&lt;&gt;"",INDEX('Raw Data'!$Q$4:$Q$203,A10-4+1),""),"")</f>
        <v/>
      </c>
      <c r="L10" s="114">
        <f>IF(NOT(A10&lt;&gt;""),"",IF(EXACT(TRIM(F10),"Closed"),IF(K10="",J10,MIN(J10,K10)),J10))</f>
        <v>0.25</v>
      </c>
      <c r="M10" s="115">
        <f>IF(A10&lt;&gt;"",INDEX('Raw Data'!$S$4:$S$203,A10-4+1),0)</f>
        <v>122500000</v>
      </c>
      <c r="N10" s="116" t="s">
        <v>274</v>
      </c>
      <c r="O10" s="117" t="s">
        <v>148</v>
      </c>
      <c r="P10" s="118">
        <v>0.6</v>
      </c>
      <c r="Q10" s="119">
        <f>IF(O10="",0,IF(N10="Umbrella Contract",Config!$C$21,Config!$C$20))</f>
        <v>0.05</v>
      </c>
      <c r="R10" s="120">
        <f>IF(O10="",0,M10*Q10*P10)</f>
        <v>3675000</v>
      </c>
      <c r="S10" s="68" t="s">
        <v>146</v>
      </c>
      <c r="T10" s="121">
        <v>0.4</v>
      </c>
      <c r="U10" s="122">
        <f>IF(S10="",0,IF(N10="Umbrella Contract",Config!$C$21,Config!$C$20))</f>
        <v>0.05</v>
      </c>
      <c r="V10" s="120">
        <f>IF(S10="",0,M10*U10*T10)</f>
        <v>2450000</v>
      </c>
      <c r="W10" s="68"/>
      <c r="X10" s="121">
        <v>0</v>
      </c>
      <c r="Y10" s="122">
        <f>IF(W10="",0,IF(N10="Umbrella Contract",Config!$C$21,Config!$C$20))</f>
        <v>0</v>
      </c>
      <c r="Z10" s="120">
        <f>IF(W10="",0,M10*Y10*X10)</f>
        <v>0</v>
      </c>
      <c r="AA10" s="123"/>
      <c r="AB10" s="124">
        <f>IF(OR(N10&lt;&gt;"Umbrella Contract",AA10=""),0,M10*Config!$C$22)</f>
        <v>0</v>
      </c>
      <c r="AC10" s="100" t="s">
        <v>141</v>
      </c>
      <c r="AD10" s="125">
        <f>IF(OR(AC10="",AC10=O10,AC10=S10,AC10=W10),0,M10*Config!$C$23)</f>
        <v>857500</v>
      </c>
      <c r="AE10" s="126" t="s">
        <v>139</v>
      </c>
      <c r="AF10" s="127">
        <f>IF(OR(AE10="",AE10=O10,AE10=S10,AE10=W10),0,M10*Config!$C$24)</f>
        <v>367500</v>
      </c>
      <c r="AG10" s="128"/>
      <c r="AH10" s="129">
        <v>0</v>
      </c>
      <c r="AI10" s="130">
        <f>IF(AG10="",0,M10*Config!$C$26*AH10)</f>
        <v>0</v>
      </c>
      <c r="AJ10" s="128"/>
      <c r="AK10" s="129">
        <v>0</v>
      </c>
      <c r="AL10" s="130">
        <f>IF(AJ10="",0,M10*Config!$C$26*AK10)</f>
        <v>0</v>
      </c>
      <c r="AM10" s="128"/>
      <c r="AN10" s="129">
        <v>0</v>
      </c>
      <c r="AO10" s="130">
        <f>IF(AM10="",0,M10*Config!$C$26*AN10)</f>
        <v>0</v>
      </c>
      <c r="AP10" s="107">
        <f>IF(AND(O10="",S10="",W10=""),"",P10+T10+X10)</f>
        <v>1</v>
      </c>
      <c r="AQ10" s="131">
        <f>IF(R10=0,0,R10-IF((R10+V10+Z10)=0,0,(AI10+AL10+AO10)*(R10/(R10+V10+Z10))))</f>
        <v>3675000</v>
      </c>
      <c r="AR10" s="131">
        <f>IF(V10=0,0,V10-IF((R10+V10+Z10)=0,0,(AI10+AL10+AO10)*(V10/(R10+V10+Z10))))</f>
        <v>2450000</v>
      </c>
      <c r="AS10" s="131">
        <f>IF(Z10=0,0,Z10-IF((R10+V10+Z10)=0,0,(AI10+AL10+AO10)*(Z10/(R10+V10+Z10))))</f>
        <v>0</v>
      </c>
    </row>
    <row r="11" spans="1:48" ht="18" customHeight="1" x14ac:dyDescent="0.45">
      <c r="A11" s="83">
        <v>8</v>
      </c>
      <c r="B11" s="84" t="str">
        <f>IF(A11&lt;&gt;"",INDEX('Raw Data'!$A$4:$A$203,A11-4+1),"")</f>
        <v>Forensic</v>
      </c>
      <c r="C11" s="84" t="str">
        <f>IF(A11&lt;&gt;"",INDEX('Raw Data'!$B$4:$B$203,A11-4+1),"")</f>
        <v>PT Dummy Retail</v>
      </c>
      <c r="D11" s="84" t="str">
        <f>IF(A11&lt;&gt;"",INDEX('Raw Data'!$C$4:$C$203,A11-4+1),"")</f>
        <v>INV-990005</v>
      </c>
      <c r="E11" s="51">
        <f>IF(A11&lt;&gt;"",INDEX('Raw Data'!$D$4:$D$203,A11-4+1),"")</f>
        <v>0</v>
      </c>
      <c r="F11" s="84" t="str">
        <f>IF(A11&lt;&gt;"",INDEX('Raw Data'!$E$4:$E$203,A11-4+1),"")</f>
        <v>Active</v>
      </c>
      <c r="G11" s="85" t="str">
        <f>IF(A11&lt;&gt;"",INDEX('Raw Data'!$H$4:$H$203,A11-4+1),"")</f>
        <v>Digital Forensic Investigation - Term 1 - 40%</v>
      </c>
      <c r="H11" s="86">
        <f>IF(A11&lt;&gt;"",INDEX('Raw Data'!$I$4:$I$203,A11-4+1),"")</f>
        <v>46101</v>
      </c>
      <c r="I11" s="87">
        <f>IF(A11&lt;&gt;"",INDEX('Raw Data'!$O$4:$O$203,A11-4+1),"")</f>
        <v>176400000</v>
      </c>
      <c r="J11" s="88">
        <f>IF(A11&lt;&gt;"",IF(INDEX('Raw Data'!$D$4:$D$203,A11-4+1)&lt;&gt;"",INDEX('Raw Data'!$P$4:$P$203,A11-4+1),INDEX('Raw Data'!$R$4:$R$203,A11-4+1)),"")</f>
        <v>0</v>
      </c>
      <c r="K11" s="89" t="str">
        <f>IF(A11&lt;&gt;"",IF(INDEX('Raw Data'!$Q$4:$Q$203,A11-4+1)&lt;&gt;"",INDEX('Raw Data'!$Q$4:$Q$203,A11-4+1),""),"")</f>
        <v/>
      </c>
      <c r="L11" s="89">
        <f>IF(NOT(A11&lt;&gt;""),"",IF(EXACT(TRIM(F11),"Closed"),IF(K11="",J11,MIN(J11,K11)),J11))</f>
        <v>0</v>
      </c>
      <c r="M11" s="90">
        <f>IF(A11&lt;&gt;"",INDEX('Raw Data'!$S$4:$S$203,A11-4+1),0)</f>
        <v>70560000</v>
      </c>
      <c r="N11" s="91" t="s">
        <v>274</v>
      </c>
      <c r="O11" s="92" t="s">
        <v>144</v>
      </c>
      <c r="P11" s="93">
        <v>1</v>
      </c>
      <c r="Q11" s="94">
        <f>IF(O11="",0,IF(N11="Umbrella Contract",Config!$C$21,Config!$C$20))</f>
        <v>0.05</v>
      </c>
      <c r="R11" s="95">
        <f>IF(O11="",0,M11*Q11*P11)</f>
        <v>3528000</v>
      </c>
      <c r="S11" s="63"/>
      <c r="T11" s="96">
        <v>0</v>
      </c>
      <c r="U11" s="97">
        <f>IF(S11="",0,IF(N11="Umbrella Contract",Config!$C$21,Config!$C$20))</f>
        <v>0</v>
      </c>
      <c r="V11" s="95">
        <f>IF(S11="",0,M11*U11*T11)</f>
        <v>0</v>
      </c>
      <c r="W11" s="63"/>
      <c r="X11" s="96">
        <v>0</v>
      </c>
      <c r="Y11" s="97">
        <f>IF(W11="",0,IF(N11="Umbrella Contract",Config!$C$21,Config!$C$20))</f>
        <v>0</v>
      </c>
      <c r="Z11" s="95">
        <f>IF(W11="",0,M11*Y11*X11)</f>
        <v>0</v>
      </c>
      <c r="AA11" s="98"/>
      <c r="AB11" s="99">
        <f>IF(OR(N11&lt;&gt;"Umbrella Contract",AA11=""),0,M11*Config!$C$22)</f>
        <v>0</v>
      </c>
      <c r="AC11" s="100" t="s">
        <v>141</v>
      </c>
      <c r="AD11" s="101">
        <f>IF(OR(AC11="",AC11=O11,AC11=S11,AC11=W11),0,M11*Config!$C$23)</f>
        <v>493920</v>
      </c>
      <c r="AE11" s="102" t="s">
        <v>139</v>
      </c>
      <c r="AF11" s="103">
        <f>IF(OR(AE11="",AE11=O11,AE11=S11,AE11=W11),0,M11*Config!$C$24)</f>
        <v>211680</v>
      </c>
      <c r="AG11" s="104" t="s">
        <v>150</v>
      </c>
      <c r="AH11" s="105">
        <v>1</v>
      </c>
      <c r="AI11" s="106">
        <f>IF(AG11="",0,M11*Config!$C$26*AH11)</f>
        <v>705600</v>
      </c>
      <c r="AJ11" s="104"/>
      <c r="AK11" s="105">
        <v>0</v>
      </c>
      <c r="AL11" s="106">
        <f>IF(AJ11="",0,M11*Config!$C$26*AK11)</f>
        <v>0</v>
      </c>
      <c r="AM11" s="104"/>
      <c r="AN11" s="105">
        <v>0</v>
      </c>
      <c r="AO11" s="106">
        <f>IF(AM11="",0,M11*Config!$C$26*AN11)</f>
        <v>0</v>
      </c>
      <c r="AP11" s="107">
        <f>IF(AND(O11="",S11="",W11=""),"",P11+T11+X11)</f>
        <v>1</v>
      </c>
      <c r="AQ11" s="108">
        <f>IF(R11=0,0,R11-IF((R11+V11+Z11)=0,0,(AI11+AL11+AO11)*(R11/(R11+V11+Z11))))</f>
        <v>2822400</v>
      </c>
      <c r="AR11" s="108">
        <f>IF(V11=0,0,V11-IF((R11+V11+Z11)=0,0,(AI11+AL11+AO11)*(V11/(R11+V11+Z11))))</f>
        <v>0</v>
      </c>
      <c r="AS11" s="108">
        <f>IF(Z11=0,0,Z11-IF((R11+V11+Z11)=0,0,(AI11+AL11+AO11)*(Z11/(R11+V11+Z11))))</f>
        <v>0</v>
      </c>
    </row>
    <row r="12" spans="1:48" ht="18" customHeight="1" x14ac:dyDescent="0.45">
      <c r="A12" s="83"/>
      <c r="B12" s="46"/>
      <c r="C12" s="46"/>
      <c r="D12" s="46"/>
      <c r="E12" s="109"/>
      <c r="F12" s="46"/>
      <c r="G12" s="110"/>
      <c r="H12" s="111"/>
      <c r="I12" s="112"/>
      <c r="J12" s="113"/>
      <c r="K12" s="114"/>
      <c r="L12" s="114"/>
      <c r="M12" s="115"/>
      <c r="N12" s="116"/>
      <c r="O12" s="117"/>
      <c r="P12" s="118"/>
      <c r="Q12" s="119"/>
      <c r="R12" s="120"/>
      <c r="S12" s="68"/>
      <c r="T12" s="121"/>
      <c r="U12" s="122"/>
      <c r="V12" s="120"/>
      <c r="W12" s="68"/>
      <c r="X12" s="121"/>
      <c r="Y12" s="122"/>
      <c r="Z12" s="120"/>
      <c r="AA12" s="123"/>
      <c r="AB12" s="124"/>
      <c r="AC12" s="100"/>
      <c r="AD12" s="125"/>
      <c r="AE12" s="126"/>
      <c r="AF12" s="127"/>
      <c r="AG12" s="128"/>
      <c r="AH12" s="129"/>
      <c r="AI12" s="130"/>
      <c r="AJ12" s="128"/>
      <c r="AK12" s="129"/>
      <c r="AL12" s="130"/>
      <c r="AM12" s="128"/>
      <c r="AN12" s="129"/>
      <c r="AO12" s="130"/>
      <c r="AP12" s="107"/>
      <c r="AQ12" s="131"/>
      <c r="AR12" s="131"/>
      <c r="AS12" s="131"/>
    </row>
    <row r="13" spans="1:48" ht="18" customHeight="1" x14ac:dyDescent="0.45">
      <c r="A13" s="83"/>
      <c r="B13" s="84"/>
      <c r="C13" s="84"/>
      <c r="D13" s="84"/>
      <c r="E13" s="51"/>
      <c r="F13" s="84"/>
      <c r="G13" s="85"/>
      <c r="H13" s="86"/>
      <c r="I13" s="87"/>
      <c r="J13" s="88"/>
      <c r="K13" s="89"/>
      <c r="L13" s="89"/>
      <c r="M13" s="90"/>
      <c r="N13" s="91"/>
      <c r="O13" s="92"/>
      <c r="P13" s="93"/>
      <c r="Q13" s="94"/>
      <c r="R13" s="95"/>
      <c r="S13" s="63"/>
      <c r="T13" s="96"/>
      <c r="U13" s="97"/>
      <c r="V13" s="95"/>
      <c r="W13" s="63"/>
      <c r="X13" s="96"/>
      <c r="Y13" s="97"/>
      <c r="Z13" s="95"/>
      <c r="AA13" s="98"/>
      <c r="AB13" s="99"/>
      <c r="AC13" s="100"/>
      <c r="AD13" s="101"/>
      <c r="AE13" s="102"/>
      <c r="AF13" s="103"/>
      <c r="AG13" s="104"/>
      <c r="AH13" s="105"/>
      <c r="AI13" s="106"/>
      <c r="AJ13" s="104"/>
      <c r="AK13" s="105"/>
      <c r="AL13" s="106"/>
      <c r="AM13" s="104"/>
      <c r="AN13" s="105"/>
      <c r="AO13" s="106"/>
      <c r="AP13" s="107"/>
      <c r="AQ13" s="108"/>
      <c r="AR13" s="108"/>
      <c r="AS13" s="108"/>
    </row>
    <row r="14" spans="1:48" ht="18" customHeight="1" x14ac:dyDescent="0.45">
      <c r="A14" s="83"/>
      <c r="B14" s="46"/>
      <c r="C14" s="46"/>
      <c r="D14" s="46"/>
      <c r="E14" s="109"/>
      <c r="F14" s="46"/>
      <c r="G14" s="110"/>
      <c r="H14" s="111"/>
      <c r="I14" s="112"/>
      <c r="J14" s="113"/>
      <c r="K14" s="114"/>
      <c r="L14" s="114"/>
      <c r="M14" s="115"/>
      <c r="N14" s="116"/>
      <c r="O14" s="117"/>
      <c r="P14" s="118"/>
      <c r="Q14" s="119"/>
      <c r="R14" s="120"/>
      <c r="S14" s="68"/>
      <c r="T14" s="121"/>
      <c r="U14" s="122"/>
      <c r="V14" s="120"/>
      <c r="W14" s="68"/>
      <c r="X14" s="121"/>
      <c r="Y14" s="122"/>
      <c r="Z14" s="120"/>
      <c r="AA14" s="123"/>
      <c r="AB14" s="124"/>
      <c r="AC14" s="100"/>
      <c r="AD14" s="125"/>
      <c r="AE14" s="126"/>
      <c r="AF14" s="127"/>
      <c r="AG14" s="128"/>
      <c r="AH14" s="129"/>
      <c r="AI14" s="130"/>
      <c r="AJ14" s="128"/>
      <c r="AK14" s="129"/>
      <c r="AL14" s="130"/>
      <c r="AM14" s="128"/>
      <c r="AN14" s="129"/>
      <c r="AO14" s="130"/>
      <c r="AP14" s="107"/>
      <c r="AQ14" s="131"/>
      <c r="AR14" s="131"/>
      <c r="AS14" s="131"/>
    </row>
    <row r="15" spans="1:48" ht="18" customHeight="1" x14ac:dyDescent="0.45">
      <c r="A15" s="83"/>
      <c r="B15" s="84"/>
      <c r="C15" s="84"/>
      <c r="D15" s="84"/>
      <c r="E15" s="51"/>
      <c r="F15" s="84"/>
      <c r="G15" s="85"/>
      <c r="H15" s="86"/>
      <c r="I15" s="87"/>
      <c r="J15" s="88"/>
      <c r="K15" s="89"/>
      <c r="L15" s="89"/>
      <c r="M15" s="90"/>
      <c r="N15" s="91"/>
      <c r="O15" s="92"/>
      <c r="P15" s="93"/>
      <c r="Q15" s="94"/>
      <c r="R15" s="95"/>
      <c r="S15" s="63"/>
      <c r="T15" s="96"/>
      <c r="U15" s="97"/>
      <c r="V15" s="95"/>
      <c r="W15" s="63"/>
      <c r="X15" s="96"/>
      <c r="Y15" s="97"/>
      <c r="Z15" s="95"/>
      <c r="AA15" s="98"/>
      <c r="AB15" s="99"/>
      <c r="AC15" s="100"/>
      <c r="AD15" s="101"/>
      <c r="AE15" s="102"/>
      <c r="AF15" s="103"/>
      <c r="AG15" s="104"/>
      <c r="AH15" s="105"/>
      <c r="AI15" s="106"/>
      <c r="AJ15" s="104"/>
      <c r="AK15" s="105"/>
      <c r="AL15" s="106"/>
      <c r="AM15" s="104"/>
      <c r="AN15" s="105"/>
      <c r="AO15" s="106"/>
      <c r="AP15" s="107"/>
      <c r="AQ15" s="108"/>
      <c r="AR15" s="108"/>
      <c r="AS15" s="108"/>
    </row>
    <row r="16" spans="1:48" ht="18" customHeight="1" x14ac:dyDescent="0.45">
      <c r="A16" s="83"/>
      <c r="B16" s="46"/>
      <c r="C16" s="46"/>
      <c r="D16" s="46"/>
      <c r="E16" s="109"/>
      <c r="F16" s="46"/>
      <c r="G16" s="110"/>
      <c r="H16" s="111"/>
      <c r="I16" s="112"/>
      <c r="J16" s="113"/>
      <c r="K16" s="114"/>
      <c r="L16" s="114"/>
      <c r="M16" s="115"/>
      <c r="N16" s="116"/>
      <c r="O16" s="117"/>
      <c r="P16" s="118"/>
      <c r="Q16" s="119"/>
      <c r="R16" s="120"/>
      <c r="S16" s="68"/>
      <c r="T16" s="121"/>
      <c r="U16" s="122"/>
      <c r="V16" s="120"/>
      <c r="W16" s="68"/>
      <c r="X16" s="121"/>
      <c r="Y16" s="122"/>
      <c r="Z16" s="120"/>
      <c r="AA16" s="123"/>
      <c r="AB16" s="124"/>
      <c r="AC16" s="100"/>
      <c r="AD16" s="125"/>
      <c r="AE16" s="126"/>
      <c r="AF16" s="127"/>
      <c r="AG16" s="128"/>
      <c r="AH16" s="129"/>
      <c r="AI16" s="130"/>
      <c r="AJ16" s="128"/>
      <c r="AK16" s="129"/>
      <c r="AL16" s="130"/>
      <c r="AM16" s="128"/>
      <c r="AN16" s="129"/>
      <c r="AO16" s="130"/>
      <c r="AP16" s="107"/>
      <c r="AQ16" s="131"/>
      <c r="AR16" s="131"/>
      <c r="AS16" s="131"/>
    </row>
    <row r="17" spans="1:45" ht="18" customHeight="1" x14ac:dyDescent="0.45">
      <c r="A17" s="83"/>
      <c r="B17" s="84"/>
      <c r="C17" s="84"/>
      <c r="D17" s="84"/>
      <c r="E17" s="51"/>
      <c r="F17" s="84"/>
      <c r="G17" s="85"/>
      <c r="H17" s="86"/>
      <c r="I17" s="87"/>
      <c r="J17" s="88"/>
      <c r="K17" s="89"/>
      <c r="L17" s="89"/>
      <c r="M17" s="90"/>
      <c r="N17" s="91"/>
      <c r="O17" s="92"/>
      <c r="P17" s="93"/>
      <c r="Q17" s="94"/>
      <c r="R17" s="95"/>
      <c r="S17" s="63"/>
      <c r="T17" s="96"/>
      <c r="U17" s="97"/>
      <c r="V17" s="95"/>
      <c r="W17" s="63"/>
      <c r="X17" s="96"/>
      <c r="Y17" s="97"/>
      <c r="Z17" s="95"/>
      <c r="AA17" s="98"/>
      <c r="AB17" s="99"/>
      <c r="AC17" s="100"/>
      <c r="AD17" s="101"/>
      <c r="AE17" s="102"/>
      <c r="AF17" s="103"/>
      <c r="AG17" s="104"/>
      <c r="AH17" s="105"/>
      <c r="AI17" s="106"/>
      <c r="AJ17" s="104"/>
      <c r="AK17" s="105"/>
      <c r="AL17" s="106"/>
      <c r="AM17" s="104"/>
      <c r="AN17" s="105"/>
      <c r="AO17" s="106"/>
      <c r="AP17" s="107"/>
      <c r="AQ17" s="108"/>
      <c r="AR17" s="108"/>
      <c r="AS17" s="108"/>
    </row>
    <row r="18" spans="1:45" ht="18" customHeight="1" x14ac:dyDescent="0.45">
      <c r="A18" s="83"/>
      <c r="B18" s="46"/>
      <c r="C18" s="46"/>
      <c r="D18" s="46"/>
      <c r="E18" s="109"/>
      <c r="F18" s="46"/>
      <c r="G18" s="110"/>
      <c r="H18" s="111"/>
      <c r="I18" s="112"/>
      <c r="J18" s="113"/>
      <c r="K18" s="114"/>
      <c r="L18" s="114"/>
      <c r="M18" s="115"/>
      <c r="N18" s="116"/>
      <c r="O18" s="117"/>
      <c r="P18" s="118"/>
      <c r="Q18" s="119"/>
      <c r="R18" s="120"/>
      <c r="S18" s="68"/>
      <c r="T18" s="121"/>
      <c r="U18" s="122"/>
      <c r="V18" s="120"/>
      <c r="W18" s="68"/>
      <c r="X18" s="121"/>
      <c r="Y18" s="122"/>
      <c r="Z18" s="120"/>
      <c r="AA18" s="123"/>
      <c r="AB18" s="124"/>
      <c r="AC18" s="100"/>
      <c r="AD18" s="125"/>
      <c r="AE18" s="126"/>
      <c r="AF18" s="127"/>
      <c r="AG18" s="128"/>
      <c r="AH18" s="129"/>
      <c r="AI18" s="130"/>
      <c r="AJ18" s="128"/>
      <c r="AK18" s="129"/>
      <c r="AL18" s="130"/>
      <c r="AM18" s="128"/>
      <c r="AN18" s="129"/>
      <c r="AO18" s="130"/>
      <c r="AP18" s="107"/>
      <c r="AQ18" s="131"/>
      <c r="AR18" s="131"/>
      <c r="AS18" s="131"/>
    </row>
    <row r="19" spans="1:45" ht="18" customHeight="1" x14ac:dyDescent="0.45">
      <c r="A19" s="83"/>
      <c r="B19" s="84"/>
      <c r="C19" s="84"/>
      <c r="D19" s="84"/>
      <c r="E19" s="51"/>
      <c r="F19" s="84"/>
      <c r="G19" s="85"/>
      <c r="H19" s="86"/>
      <c r="I19" s="87"/>
      <c r="J19" s="88"/>
      <c r="K19" s="89"/>
      <c r="L19" s="89"/>
      <c r="M19" s="90"/>
      <c r="N19" s="91"/>
      <c r="O19" s="92"/>
      <c r="P19" s="93"/>
      <c r="Q19" s="94"/>
      <c r="R19" s="95"/>
      <c r="S19" s="63"/>
      <c r="T19" s="96"/>
      <c r="U19" s="97"/>
      <c r="V19" s="95"/>
      <c r="W19" s="63"/>
      <c r="X19" s="96"/>
      <c r="Y19" s="97"/>
      <c r="Z19" s="95"/>
      <c r="AA19" s="98"/>
      <c r="AB19" s="99"/>
      <c r="AC19" s="100"/>
      <c r="AD19" s="101"/>
      <c r="AE19" s="102"/>
      <c r="AF19" s="103"/>
      <c r="AG19" s="104"/>
      <c r="AH19" s="105"/>
      <c r="AI19" s="106"/>
      <c r="AJ19" s="104"/>
      <c r="AK19" s="105"/>
      <c r="AL19" s="106"/>
      <c r="AM19" s="104"/>
      <c r="AN19" s="105"/>
      <c r="AO19" s="106"/>
      <c r="AP19" s="107"/>
      <c r="AQ19" s="108"/>
      <c r="AR19" s="108"/>
      <c r="AS19" s="108"/>
    </row>
    <row r="20" spans="1:45" ht="18" customHeight="1" x14ac:dyDescent="0.45">
      <c r="A20" s="83"/>
      <c r="B20" s="46"/>
      <c r="C20" s="46"/>
      <c r="D20" s="46"/>
      <c r="E20" s="109"/>
      <c r="F20" s="46"/>
      <c r="G20" s="110"/>
      <c r="H20" s="111"/>
      <c r="I20" s="112"/>
      <c r="J20" s="113"/>
      <c r="K20" s="114"/>
      <c r="L20" s="114"/>
      <c r="M20" s="115"/>
      <c r="N20" s="116"/>
      <c r="O20" s="117"/>
      <c r="P20" s="118"/>
      <c r="Q20" s="119"/>
      <c r="R20" s="120"/>
      <c r="S20" s="68"/>
      <c r="T20" s="121"/>
      <c r="U20" s="122"/>
      <c r="V20" s="120"/>
      <c r="W20" s="68"/>
      <c r="X20" s="121"/>
      <c r="Y20" s="122"/>
      <c r="Z20" s="120"/>
      <c r="AA20" s="123"/>
      <c r="AB20" s="124"/>
      <c r="AC20" s="100"/>
      <c r="AD20" s="125"/>
      <c r="AE20" s="126"/>
      <c r="AF20" s="127"/>
      <c r="AG20" s="128"/>
      <c r="AH20" s="129"/>
      <c r="AI20" s="130"/>
      <c r="AJ20" s="128"/>
      <c r="AK20" s="129"/>
      <c r="AL20" s="130"/>
      <c r="AM20" s="128"/>
      <c r="AN20" s="129"/>
      <c r="AO20" s="130"/>
      <c r="AP20" s="107"/>
      <c r="AQ20" s="131"/>
      <c r="AR20" s="131"/>
      <c r="AS20" s="131"/>
    </row>
    <row r="21" spans="1:45" ht="18" customHeight="1" x14ac:dyDescent="0.45">
      <c r="A21" s="83"/>
      <c r="B21" s="84"/>
      <c r="C21" s="84"/>
      <c r="D21" s="84"/>
      <c r="E21" s="51"/>
      <c r="F21" s="84"/>
      <c r="G21" s="85"/>
      <c r="H21" s="86"/>
      <c r="I21" s="87"/>
      <c r="J21" s="88"/>
      <c r="K21" s="89"/>
      <c r="L21" s="89"/>
      <c r="M21" s="90"/>
      <c r="N21" s="91"/>
      <c r="O21" s="92"/>
      <c r="P21" s="93"/>
      <c r="Q21" s="94"/>
      <c r="R21" s="95"/>
      <c r="S21" s="63"/>
      <c r="T21" s="96"/>
      <c r="U21" s="97"/>
      <c r="V21" s="95"/>
      <c r="W21" s="63"/>
      <c r="X21" s="96"/>
      <c r="Y21" s="97"/>
      <c r="Z21" s="95"/>
      <c r="AA21" s="98"/>
      <c r="AB21" s="99"/>
      <c r="AC21" s="100"/>
      <c r="AD21" s="101"/>
      <c r="AE21" s="102"/>
      <c r="AF21" s="103"/>
      <c r="AG21" s="104"/>
      <c r="AH21" s="105"/>
      <c r="AI21" s="106"/>
      <c r="AJ21" s="104"/>
      <c r="AK21" s="105"/>
      <c r="AL21" s="106"/>
      <c r="AM21" s="104"/>
      <c r="AN21" s="105"/>
      <c r="AO21" s="106"/>
      <c r="AP21" s="107"/>
      <c r="AQ21" s="108"/>
      <c r="AR21" s="108"/>
      <c r="AS21" s="108"/>
    </row>
    <row r="22" spans="1:45" ht="18" customHeight="1" x14ac:dyDescent="0.45">
      <c r="A22" s="83"/>
      <c r="B22" s="46"/>
      <c r="C22" s="46"/>
      <c r="D22" s="46"/>
      <c r="E22" s="109"/>
      <c r="F22" s="46"/>
      <c r="G22" s="110"/>
      <c r="H22" s="111"/>
      <c r="I22" s="112"/>
      <c r="J22" s="113"/>
      <c r="K22" s="114"/>
      <c r="L22" s="114"/>
      <c r="M22" s="115"/>
      <c r="N22" s="116"/>
      <c r="O22" s="117"/>
      <c r="P22" s="118"/>
      <c r="Q22" s="119"/>
      <c r="R22" s="120"/>
      <c r="S22" s="68"/>
      <c r="T22" s="121"/>
      <c r="U22" s="122"/>
      <c r="V22" s="120"/>
      <c r="W22" s="68"/>
      <c r="X22" s="121"/>
      <c r="Y22" s="122"/>
      <c r="Z22" s="120"/>
      <c r="AA22" s="123"/>
      <c r="AB22" s="124"/>
      <c r="AC22" s="100"/>
      <c r="AD22" s="125"/>
      <c r="AE22" s="126"/>
      <c r="AF22" s="127"/>
      <c r="AG22" s="128"/>
      <c r="AH22" s="129"/>
      <c r="AI22" s="130"/>
      <c r="AJ22" s="128"/>
      <c r="AK22" s="129"/>
      <c r="AL22" s="130"/>
      <c r="AM22" s="128"/>
      <c r="AN22" s="129"/>
      <c r="AO22" s="130"/>
      <c r="AP22" s="107"/>
      <c r="AQ22" s="131"/>
      <c r="AR22" s="131"/>
      <c r="AS22" s="131"/>
    </row>
    <row r="23" spans="1:45" ht="18" customHeight="1" x14ac:dyDescent="0.45">
      <c r="A23" s="83"/>
      <c r="B23" s="84"/>
      <c r="C23" s="84"/>
      <c r="D23" s="84"/>
      <c r="E23" s="51"/>
      <c r="F23" s="84"/>
      <c r="G23" s="85"/>
      <c r="H23" s="86"/>
      <c r="I23" s="87"/>
      <c r="J23" s="88"/>
      <c r="K23" s="89"/>
      <c r="L23" s="89"/>
      <c r="M23" s="90"/>
      <c r="N23" s="91"/>
      <c r="O23" s="92"/>
      <c r="P23" s="93"/>
      <c r="Q23" s="94"/>
      <c r="R23" s="95"/>
      <c r="S23" s="63"/>
      <c r="T23" s="96"/>
      <c r="U23" s="97"/>
      <c r="V23" s="95"/>
      <c r="W23" s="63"/>
      <c r="X23" s="96"/>
      <c r="Y23" s="97"/>
      <c r="Z23" s="95"/>
      <c r="AA23" s="98"/>
      <c r="AB23" s="99"/>
      <c r="AC23" s="100"/>
      <c r="AD23" s="101"/>
      <c r="AE23" s="102"/>
      <c r="AF23" s="103"/>
      <c r="AG23" s="104"/>
      <c r="AH23" s="105"/>
      <c r="AI23" s="106"/>
      <c r="AJ23" s="104"/>
      <c r="AK23" s="105"/>
      <c r="AL23" s="106"/>
      <c r="AM23" s="104"/>
      <c r="AN23" s="105"/>
      <c r="AO23" s="106"/>
      <c r="AP23" s="107"/>
      <c r="AQ23" s="108"/>
      <c r="AR23" s="108"/>
      <c r="AS23" s="108"/>
    </row>
    <row r="24" spans="1:45" ht="18" customHeight="1" x14ac:dyDescent="0.45">
      <c r="A24" s="83"/>
      <c r="B24" s="46"/>
      <c r="C24" s="46"/>
      <c r="D24" s="46"/>
      <c r="E24" s="109"/>
      <c r="F24" s="46"/>
      <c r="G24" s="110"/>
      <c r="H24" s="111"/>
      <c r="I24" s="112"/>
      <c r="J24" s="113"/>
      <c r="K24" s="114"/>
      <c r="L24" s="114"/>
      <c r="M24" s="115"/>
      <c r="N24" s="91"/>
      <c r="O24" s="117"/>
      <c r="P24" s="118"/>
      <c r="Q24" s="119"/>
      <c r="R24" s="120"/>
      <c r="S24" s="68"/>
      <c r="T24" s="121"/>
      <c r="U24" s="122"/>
      <c r="V24" s="120"/>
      <c r="W24" s="68"/>
      <c r="X24" s="121"/>
      <c r="Y24" s="122"/>
      <c r="Z24" s="120"/>
      <c r="AA24" s="98"/>
      <c r="AB24" s="124"/>
      <c r="AC24" s="100"/>
      <c r="AD24" s="125"/>
      <c r="AE24" s="126"/>
      <c r="AF24" s="127"/>
      <c r="AG24" s="128"/>
      <c r="AH24" s="129"/>
      <c r="AI24" s="130"/>
      <c r="AJ24" s="128"/>
      <c r="AK24" s="129"/>
      <c r="AL24" s="130"/>
      <c r="AM24" s="128"/>
      <c r="AN24" s="129"/>
      <c r="AO24" s="130"/>
      <c r="AP24" s="107"/>
      <c r="AQ24" s="131"/>
      <c r="AR24" s="131"/>
      <c r="AS24" s="131"/>
    </row>
    <row r="25" spans="1:45" ht="18" customHeight="1" x14ac:dyDescent="0.45">
      <c r="A25" s="83"/>
      <c r="B25" s="84"/>
      <c r="C25" s="84"/>
      <c r="D25" s="84"/>
      <c r="E25" s="51"/>
      <c r="F25" s="84"/>
      <c r="G25" s="85"/>
      <c r="H25" s="86"/>
      <c r="I25" s="87"/>
      <c r="J25" s="88"/>
      <c r="K25" s="89"/>
      <c r="L25" s="89"/>
      <c r="M25" s="90"/>
      <c r="N25" s="91"/>
      <c r="O25" s="92"/>
      <c r="P25" s="93"/>
      <c r="Q25" s="94"/>
      <c r="R25" s="95"/>
      <c r="S25" s="63"/>
      <c r="T25" s="96"/>
      <c r="U25" s="97"/>
      <c r="V25" s="95"/>
      <c r="W25" s="63"/>
      <c r="X25" s="96"/>
      <c r="Y25" s="97"/>
      <c r="Z25" s="95"/>
      <c r="AA25" s="98"/>
      <c r="AB25" s="99"/>
      <c r="AC25" s="100"/>
      <c r="AD25" s="101"/>
      <c r="AE25" s="102"/>
      <c r="AF25" s="103"/>
      <c r="AG25" s="104"/>
      <c r="AH25" s="105"/>
      <c r="AI25" s="106"/>
      <c r="AJ25" s="104"/>
      <c r="AK25" s="105"/>
      <c r="AL25" s="106"/>
      <c r="AM25" s="104"/>
      <c r="AN25" s="105"/>
      <c r="AO25" s="106"/>
      <c r="AP25" s="107"/>
      <c r="AQ25" s="108"/>
      <c r="AR25" s="108"/>
      <c r="AS25" s="108"/>
    </row>
    <row r="26" spans="1:45" ht="18" customHeight="1" x14ac:dyDescent="0.45">
      <c r="A26" s="83"/>
      <c r="B26" s="46"/>
      <c r="C26" s="46"/>
      <c r="D26" s="46"/>
      <c r="E26" s="109"/>
      <c r="F26" s="46"/>
      <c r="G26" s="110"/>
      <c r="H26" s="111"/>
      <c r="I26" s="112"/>
      <c r="J26" s="113"/>
      <c r="K26" s="114"/>
      <c r="L26" s="114"/>
      <c r="M26" s="115"/>
      <c r="N26" s="91"/>
      <c r="O26" s="117"/>
      <c r="P26" s="118"/>
      <c r="Q26" s="119"/>
      <c r="R26" s="120"/>
      <c r="S26" s="68"/>
      <c r="T26" s="121"/>
      <c r="U26" s="122"/>
      <c r="V26" s="120"/>
      <c r="W26" s="68"/>
      <c r="X26" s="121"/>
      <c r="Y26" s="122"/>
      <c r="Z26" s="120"/>
      <c r="AA26" s="98"/>
      <c r="AB26" s="124"/>
      <c r="AC26" s="100"/>
      <c r="AD26" s="125"/>
      <c r="AE26" s="126"/>
      <c r="AF26" s="127"/>
      <c r="AG26" s="128"/>
      <c r="AH26" s="129"/>
      <c r="AI26" s="130"/>
      <c r="AJ26" s="128"/>
      <c r="AK26" s="129"/>
      <c r="AL26" s="130"/>
      <c r="AM26" s="128"/>
      <c r="AN26" s="129"/>
      <c r="AO26" s="130"/>
      <c r="AP26" s="107"/>
      <c r="AQ26" s="131"/>
      <c r="AR26" s="131"/>
      <c r="AS26" s="131"/>
    </row>
    <row r="27" spans="1:45" ht="18" customHeight="1" x14ac:dyDescent="0.45">
      <c r="A27" s="83"/>
      <c r="B27" s="84"/>
      <c r="C27" s="84"/>
      <c r="D27" s="84"/>
      <c r="E27" s="51"/>
      <c r="F27" s="84"/>
      <c r="G27" s="85"/>
      <c r="H27" s="86"/>
      <c r="I27" s="87"/>
      <c r="J27" s="88"/>
      <c r="K27" s="89"/>
      <c r="L27" s="89"/>
      <c r="M27" s="90"/>
      <c r="N27" s="91"/>
      <c r="O27" s="92"/>
      <c r="P27" s="93"/>
      <c r="Q27" s="94"/>
      <c r="R27" s="95"/>
      <c r="S27" s="63"/>
      <c r="T27" s="96"/>
      <c r="U27" s="97"/>
      <c r="V27" s="95"/>
      <c r="W27" s="63"/>
      <c r="X27" s="96"/>
      <c r="Y27" s="97"/>
      <c r="Z27" s="95"/>
      <c r="AA27" s="98"/>
      <c r="AB27" s="99"/>
      <c r="AC27" s="100"/>
      <c r="AD27" s="101"/>
      <c r="AE27" s="102"/>
      <c r="AF27" s="103"/>
      <c r="AG27" s="104"/>
      <c r="AH27" s="105"/>
      <c r="AI27" s="106"/>
      <c r="AJ27" s="104"/>
      <c r="AK27" s="105"/>
      <c r="AL27" s="106"/>
      <c r="AM27" s="104"/>
      <c r="AN27" s="105"/>
      <c r="AO27" s="106"/>
      <c r="AP27" s="107"/>
      <c r="AQ27" s="108"/>
      <c r="AR27" s="108"/>
      <c r="AS27" s="108"/>
    </row>
    <row r="28" spans="1:45" ht="18" customHeight="1" x14ac:dyDescent="0.45">
      <c r="A28" s="83"/>
      <c r="B28" s="46"/>
      <c r="C28" s="46"/>
      <c r="D28" s="46"/>
      <c r="E28" s="109"/>
      <c r="F28" s="46"/>
      <c r="G28" s="110"/>
      <c r="H28" s="111"/>
      <c r="I28" s="112"/>
      <c r="J28" s="113"/>
      <c r="K28" s="114"/>
      <c r="L28" s="114"/>
      <c r="M28" s="115"/>
      <c r="N28" s="91"/>
      <c r="O28" s="117"/>
      <c r="P28" s="118"/>
      <c r="Q28" s="119"/>
      <c r="R28" s="120"/>
      <c r="S28" s="68"/>
      <c r="T28" s="121"/>
      <c r="U28" s="122"/>
      <c r="V28" s="120"/>
      <c r="W28" s="68"/>
      <c r="X28" s="121"/>
      <c r="Y28" s="122"/>
      <c r="Z28" s="120"/>
      <c r="AA28" s="98"/>
      <c r="AB28" s="124"/>
      <c r="AC28" s="100"/>
      <c r="AD28" s="125"/>
      <c r="AE28" s="126"/>
      <c r="AF28" s="127"/>
      <c r="AG28" s="128"/>
      <c r="AH28" s="129"/>
      <c r="AI28" s="130"/>
      <c r="AJ28" s="128"/>
      <c r="AK28" s="129"/>
      <c r="AL28" s="130"/>
      <c r="AM28" s="128"/>
      <c r="AN28" s="129"/>
      <c r="AO28" s="130"/>
      <c r="AP28" s="107"/>
      <c r="AQ28" s="131"/>
      <c r="AR28" s="131"/>
      <c r="AS28" s="131"/>
    </row>
    <row r="29" spans="1:45" ht="18" customHeight="1" x14ac:dyDescent="0.45">
      <c r="A29" s="83"/>
      <c r="B29" s="84"/>
      <c r="C29" s="84"/>
      <c r="D29" s="84"/>
      <c r="E29" s="51"/>
      <c r="F29" s="84"/>
      <c r="G29" s="85"/>
      <c r="H29" s="86"/>
      <c r="I29" s="87"/>
      <c r="J29" s="88"/>
      <c r="K29" s="89"/>
      <c r="L29" s="89"/>
      <c r="M29" s="90"/>
      <c r="N29" s="91"/>
      <c r="O29" s="92"/>
      <c r="P29" s="93"/>
      <c r="Q29" s="94"/>
      <c r="R29" s="95"/>
      <c r="S29" s="63"/>
      <c r="T29" s="96"/>
      <c r="U29" s="97"/>
      <c r="V29" s="95"/>
      <c r="W29" s="63"/>
      <c r="X29" s="96"/>
      <c r="Y29" s="97"/>
      <c r="Z29" s="95"/>
      <c r="AA29" s="98"/>
      <c r="AB29" s="99"/>
      <c r="AC29" s="100"/>
      <c r="AD29" s="101"/>
      <c r="AE29" s="102"/>
      <c r="AF29" s="103"/>
      <c r="AG29" s="104"/>
      <c r="AH29" s="105"/>
      <c r="AI29" s="106"/>
      <c r="AJ29" s="104"/>
      <c r="AK29" s="105"/>
      <c r="AL29" s="106"/>
      <c r="AM29" s="104"/>
      <c r="AN29" s="105"/>
      <c r="AO29" s="106"/>
      <c r="AP29" s="107"/>
      <c r="AQ29" s="108"/>
      <c r="AR29" s="108"/>
      <c r="AS29" s="108"/>
    </row>
    <row r="30" spans="1:45" ht="18" customHeight="1" x14ac:dyDescent="0.45">
      <c r="A30" s="83"/>
      <c r="B30" s="46"/>
      <c r="C30" s="46"/>
      <c r="D30" s="46"/>
      <c r="E30" s="109"/>
      <c r="F30" s="46"/>
      <c r="G30" s="110"/>
      <c r="H30" s="111"/>
      <c r="I30" s="112"/>
      <c r="J30" s="113"/>
      <c r="K30" s="114"/>
      <c r="L30" s="114"/>
      <c r="M30" s="115"/>
      <c r="N30" s="91"/>
      <c r="O30" s="117"/>
      <c r="P30" s="118"/>
      <c r="Q30" s="119"/>
      <c r="R30" s="120"/>
      <c r="S30" s="68"/>
      <c r="T30" s="121"/>
      <c r="U30" s="122"/>
      <c r="V30" s="120"/>
      <c r="W30" s="68"/>
      <c r="X30" s="121"/>
      <c r="Y30" s="122"/>
      <c r="Z30" s="120"/>
      <c r="AA30" s="98"/>
      <c r="AB30" s="124"/>
      <c r="AC30" s="100"/>
      <c r="AD30" s="125"/>
      <c r="AE30" s="126"/>
      <c r="AF30" s="127"/>
      <c r="AG30" s="128"/>
      <c r="AH30" s="129"/>
      <c r="AI30" s="130"/>
      <c r="AJ30" s="128"/>
      <c r="AK30" s="129"/>
      <c r="AL30" s="130"/>
      <c r="AM30" s="128"/>
      <c r="AN30" s="129"/>
      <c r="AO30" s="130"/>
      <c r="AP30" s="107"/>
      <c r="AQ30" s="131"/>
      <c r="AR30" s="131"/>
      <c r="AS30" s="131"/>
    </row>
    <row r="31" spans="1:45" ht="18" customHeight="1" x14ac:dyDescent="0.45">
      <c r="A31" s="83"/>
      <c r="B31" s="84"/>
      <c r="C31" s="84"/>
      <c r="D31" s="84"/>
      <c r="E31" s="51"/>
      <c r="F31" s="84"/>
      <c r="G31" s="85"/>
      <c r="H31" s="86"/>
      <c r="I31" s="87"/>
      <c r="J31" s="88"/>
      <c r="K31" s="89"/>
      <c r="L31" s="89"/>
      <c r="M31" s="90"/>
      <c r="N31" s="91"/>
      <c r="O31" s="92"/>
      <c r="P31" s="93"/>
      <c r="Q31" s="94"/>
      <c r="R31" s="95"/>
      <c r="S31" s="63"/>
      <c r="T31" s="96"/>
      <c r="U31" s="97"/>
      <c r="V31" s="95"/>
      <c r="W31" s="63"/>
      <c r="X31" s="96"/>
      <c r="Y31" s="97"/>
      <c r="Z31" s="95"/>
      <c r="AA31" s="98"/>
      <c r="AB31" s="99"/>
      <c r="AC31" s="100"/>
      <c r="AD31" s="101"/>
      <c r="AE31" s="102"/>
      <c r="AF31" s="103"/>
      <c r="AG31" s="104"/>
      <c r="AH31" s="105"/>
      <c r="AI31" s="106"/>
      <c r="AJ31" s="104"/>
      <c r="AK31" s="105"/>
      <c r="AL31" s="106"/>
      <c r="AM31" s="104"/>
      <c r="AN31" s="105"/>
      <c r="AO31" s="106"/>
      <c r="AP31" s="107"/>
      <c r="AQ31" s="108"/>
      <c r="AR31" s="108"/>
      <c r="AS31" s="108"/>
    </row>
    <row r="32" spans="1:45" ht="18" customHeight="1" x14ac:dyDescent="0.45">
      <c r="A32" s="83"/>
      <c r="B32" s="46"/>
      <c r="C32" s="46"/>
      <c r="D32" s="46"/>
      <c r="E32" s="109"/>
      <c r="F32" s="46"/>
      <c r="G32" s="110"/>
      <c r="H32" s="111"/>
      <c r="I32" s="112"/>
      <c r="J32" s="113"/>
      <c r="K32" s="114"/>
      <c r="L32" s="114"/>
      <c r="M32" s="115"/>
      <c r="N32" s="91"/>
      <c r="O32" s="117"/>
      <c r="P32" s="118"/>
      <c r="Q32" s="119"/>
      <c r="R32" s="120"/>
      <c r="S32" s="68"/>
      <c r="T32" s="121"/>
      <c r="U32" s="122"/>
      <c r="V32" s="120"/>
      <c r="W32" s="68"/>
      <c r="X32" s="121"/>
      <c r="Y32" s="122"/>
      <c r="Z32" s="120"/>
      <c r="AA32" s="98"/>
      <c r="AB32" s="124"/>
      <c r="AC32" s="100"/>
      <c r="AD32" s="125"/>
      <c r="AE32" s="126"/>
      <c r="AF32" s="127"/>
      <c r="AG32" s="128"/>
      <c r="AH32" s="129"/>
      <c r="AI32" s="130"/>
      <c r="AJ32" s="128"/>
      <c r="AK32" s="129"/>
      <c r="AL32" s="130"/>
      <c r="AM32" s="128"/>
      <c r="AN32" s="129"/>
      <c r="AO32" s="130"/>
      <c r="AP32" s="107"/>
      <c r="AQ32" s="131"/>
      <c r="AR32" s="131"/>
      <c r="AS32" s="131"/>
    </row>
    <row r="33" spans="1:45" ht="18" customHeight="1" x14ac:dyDescent="0.45">
      <c r="A33" s="83"/>
      <c r="B33" s="84"/>
      <c r="C33" s="84"/>
      <c r="D33" s="84"/>
      <c r="E33" s="51"/>
      <c r="F33" s="84"/>
      <c r="G33" s="85"/>
      <c r="H33" s="86"/>
      <c r="I33" s="87"/>
      <c r="J33" s="88"/>
      <c r="K33" s="89"/>
      <c r="L33" s="89"/>
      <c r="M33" s="90"/>
      <c r="N33" s="91"/>
      <c r="O33" s="92"/>
      <c r="P33" s="93"/>
      <c r="Q33" s="94"/>
      <c r="R33" s="95"/>
      <c r="S33" s="63"/>
      <c r="T33" s="96"/>
      <c r="U33" s="97"/>
      <c r="V33" s="95"/>
      <c r="W33" s="63"/>
      <c r="X33" s="96"/>
      <c r="Y33" s="97"/>
      <c r="Z33" s="95"/>
      <c r="AA33" s="98"/>
      <c r="AB33" s="99"/>
      <c r="AC33" s="100"/>
      <c r="AD33" s="101"/>
      <c r="AE33" s="102"/>
      <c r="AF33" s="103"/>
      <c r="AG33" s="104"/>
      <c r="AH33" s="105"/>
      <c r="AI33" s="106"/>
      <c r="AJ33" s="104"/>
      <c r="AK33" s="105"/>
      <c r="AL33" s="106"/>
      <c r="AM33" s="104"/>
      <c r="AN33" s="105"/>
      <c r="AO33" s="106"/>
      <c r="AP33" s="107"/>
      <c r="AQ33" s="108"/>
      <c r="AR33" s="108"/>
      <c r="AS33" s="108"/>
    </row>
    <row r="34" spans="1:45" ht="18" customHeight="1" x14ac:dyDescent="0.45">
      <c r="A34" s="83"/>
      <c r="B34" s="46"/>
      <c r="C34" s="46"/>
      <c r="D34" s="46"/>
      <c r="E34" s="109"/>
      <c r="F34" s="46"/>
      <c r="G34" s="110"/>
      <c r="H34" s="111"/>
      <c r="I34" s="112"/>
      <c r="J34" s="113"/>
      <c r="K34" s="114"/>
      <c r="L34" s="114"/>
      <c r="M34" s="115"/>
      <c r="N34" s="91"/>
      <c r="O34" s="117"/>
      <c r="P34" s="118"/>
      <c r="Q34" s="119"/>
      <c r="R34" s="120"/>
      <c r="S34" s="68"/>
      <c r="T34" s="121"/>
      <c r="U34" s="122"/>
      <c r="V34" s="120"/>
      <c r="W34" s="68"/>
      <c r="X34" s="121"/>
      <c r="Y34" s="122"/>
      <c r="Z34" s="120"/>
      <c r="AA34" s="98"/>
      <c r="AB34" s="124"/>
      <c r="AC34" s="100"/>
      <c r="AD34" s="125"/>
      <c r="AE34" s="126"/>
      <c r="AF34" s="127"/>
      <c r="AG34" s="128"/>
      <c r="AH34" s="129"/>
      <c r="AI34" s="130"/>
      <c r="AJ34" s="128"/>
      <c r="AK34" s="129"/>
      <c r="AL34" s="130"/>
      <c r="AM34" s="128"/>
      <c r="AN34" s="129"/>
      <c r="AO34" s="130"/>
      <c r="AP34" s="107"/>
      <c r="AQ34" s="131"/>
      <c r="AR34" s="131"/>
      <c r="AS34" s="131"/>
    </row>
    <row r="35" spans="1:45" ht="18" customHeight="1" x14ac:dyDescent="0.45">
      <c r="A35" s="83"/>
      <c r="B35" s="84"/>
      <c r="C35" s="84"/>
      <c r="D35" s="84"/>
      <c r="E35" s="51"/>
      <c r="F35" s="84"/>
      <c r="G35" s="85"/>
      <c r="H35" s="86"/>
      <c r="I35" s="87"/>
      <c r="J35" s="88"/>
      <c r="K35" s="89"/>
      <c r="L35" s="89"/>
      <c r="M35" s="90"/>
      <c r="N35" s="91"/>
      <c r="O35" s="92"/>
      <c r="P35" s="93"/>
      <c r="Q35" s="94"/>
      <c r="R35" s="95"/>
      <c r="S35" s="63"/>
      <c r="T35" s="96"/>
      <c r="U35" s="97"/>
      <c r="V35" s="95"/>
      <c r="W35" s="63"/>
      <c r="X35" s="96"/>
      <c r="Y35" s="97"/>
      <c r="Z35" s="95"/>
      <c r="AA35" s="98"/>
      <c r="AB35" s="99"/>
      <c r="AC35" s="100"/>
      <c r="AD35" s="101"/>
      <c r="AE35" s="102"/>
      <c r="AF35" s="103"/>
      <c r="AG35" s="104"/>
      <c r="AH35" s="105"/>
      <c r="AI35" s="106"/>
      <c r="AJ35" s="104"/>
      <c r="AK35" s="105"/>
      <c r="AL35" s="106"/>
      <c r="AM35" s="104"/>
      <c r="AN35" s="105"/>
      <c r="AO35" s="106"/>
      <c r="AP35" s="107"/>
      <c r="AQ35" s="108"/>
      <c r="AR35" s="108"/>
      <c r="AS35" s="108"/>
    </row>
    <row r="36" spans="1:45" ht="18" customHeight="1" x14ac:dyDescent="0.45">
      <c r="A36" s="83"/>
      <c r="B36" s="46"/>
      <c r="C36" s="46"/>
      <c r="D36" s="46"/>
      <c r="E36" s="109"/>
      <c r="F36" s="46"/>
      <c r="G36" s="110"/>
      <c r="H36" s="111"/>
      <c r="I36" s="112"/>
      <c r="J36" s="113"/>
      <c r="K36" s="114"/>
      <c r="L36" s="114"/>
      <c r="M36" s="115"/>
      <c r="N36" s="91"/>
      <c r="O36" s="117"/>
      <c r="P36" s="118"/>
      <c r="Q36" s="119"/>
      <c r="R36" s="120"/>
      <c r="S36" s="68"/>
      <c r="T36" s="121"/>
      <c r="U36" s="122"/>
      <c r="V36" s="120"/>
      <c r="W36" s="68"/>
      <c r="X36" s="121"/>
      <c r="Y36" s="122"/>
      <c r="Z36" s="120"/>
      <c r="AA36" s="98"/>
      <c r="AB36" s="124"/>
      <c r="AC36" s="100"/>
      <c r="AD36" s="125"/>
      <c r="AE36" s="126"/>
      <c r="AF36" s="127"/>
      <c r="AG36" s="128"/>
      <c r="AH36" s="129"/>
      <c r="AI36" s="130"/>
      <c r="AJ36" s="128"/>
      <c r="AK36" s="129"/>
      <c r="AL36" s="130"/>
      <c r="AM36" s="128"/>
      <c r="AN36" s="129"/>
      <c r="AO36" s="130"/>
      <c r="AP36" s="107"/>
      <c r="AQ36" s="131"/>
      <c r="AR36" s="131"/>
      <c r="AS36" s="131"/>
    </row>
    <row r="37" spans="1:45" ht="18" customHeight="1" x14ac:dyDescent="0.45">
      <c r="A37" s="83"/>
      <c r="B37" s="84"/>
      <c r="C37" s="84"/>
      <c r="D37" s="84"/>
      <c r="E37" s="51"/>
      <c r="F37" s="84"/>
      <c r="G37" s="85"/>
      <c r="H37" s="86"/>
      <c r="I37" s="87"/>
      <c r="J37" s="88"/>
      <c r="K37" s="89"/>
      <c r="L37" s="89"/>
      <c r="M37" s="90"/>
      <c r="N37" s="91"/>
      <c r="O37" s="92"/>
      <c r="P37" s="93"/>
      <c r="Q37" s="94"/>
      <c r="R37" s="95"/>
      <c r="S37" s="63"/>
      <c r="T37" s="96"/>
      <c r="U37" s="97"/>
      <c r="V37" s="95"/>
      <c r="W37" s="63"/>
      <c r="X37" s="96"/>
      <c r="Y37" s="97"/>
      <c r="Z37" s="95"/>
      <c r="AA37" s="98"/>
      <c r="AB37" s="99"/>
      <c r="AC37" s="100"/>
      <c r="AD37" s="101"/>
      <c r="AE37" s="102"/>
      <c r="AF37" s="103"/>
      <c r="AG37" s="104"/>
      <c r="AH37" s="105"/>
      <c r="AI37" s="106"/>
      <c r="AJ37" s="104"/>
      <c r="AK37" s="105"/>
      <c r="AL37" s="106"/>
      <c r="AM37" s="104"/>
      <c r="AN37" s="105"/>
      <c r="AO37" s="106"/>
      <c r="AP37" s="107"/>
      <c r="AQ37" s="108"/>
      <c r="AR37" s="108"/>
      <c r="AS37" s="108"/>
    </row>
    <row r="38" spans="1:45" ht="18" customHeight="1" x14ac:dyDescent="0.45">
      <c r="A38" s="83"/>
      <c r="B38" s="46"/>
      <c r="C38" s="46"/>
      <c r="D38" s="46"/>
      <c r="E38" s="109"/>
      <c r="F38" s="46"/>
      <c r="G38" s="110"/>
      <c r="H38" s="111"/>
      <c r="I38" s="112"/>
      <c r="J38" s="113"/>
      <c r="K38" s="114"/>
      <c r="L38" s="114"/>
      <c r="M38" s="115"/>
      <c r="N38" s="91"/>
      <c r="O38" s="117"/>
      <c r="P38" s="118"/>
      <c r="Q38" s="119"/>
      <c r="R38" s="120"/>
      <c r="S38" s="68"/>
      <c r="T38" s="121"/>
      <c r="U38" s="122"/>
      <c r="V38" s="120"/>
      <c r="W38" s="68"/>
      <c r="X38" s="121"/>
      <c r="Y38" s="122"/>
      <c r="Z38" s="120"/>
      <c r="AA38" s="98"/>
      <c r="AB38" s="124"/>
      <c r="AC38" s="100"/>
      <c r="AD38" s="125"/>
      <c r="AE38" s="126"/>
      <c r="AF38" s="127"/>
      <c r="AG38" s="128"/>
      <c r="AH38" s="129"/>
      <c r="AI38" s="130"/>
      <c r="AJ38" s="128"/>
      <c r="AK38" s="129"/>
      <c r="AL38" s="130"/>
      <c r="AM38" s="128"/>
      <c r="AN38" s="129"/>
      <c r="AO38" s="130"/>
      <c r="AP38" s="107"/>
      <c r="AQ38" s="131"/>
      <c r="AR38" s="131"/>
      <c r="AS38" s="131"/>
    </row>
    <row r="39" spans="1:45" ht="18" customHeight="1" x14ac:dyDescent="0.45">
      <c r="A39" s="83"/>
      <c r="B39" s="84"/>
      <c r="C39" s="84"/>
      <c r="D39" s="84"/>
      <c r="E39" s="51"/>
      <c r="F39" s="84"/>
      <c r="G39" s="85"/>
      <c r="H39" s="86"/>
      <c r="I39" s="87"/>
      <c r="J39" s="88"/>
      <c r="K39" s="89"/>
      <c r="L39" s="89"/>
      <c r="M39" s="90"/>
      <c r="N39" s="91"/>
      <c r="O39" s="92"/>
      <c r="P39" s="93"/>
      <c r="Q39" s="94"/>
      <c r="R39" s="95"/>
      <c r="S39" s="63"/>
      <c r="T39" s="96"/>
      <c r="U39" s="97"/>
      <c r="V39" s="95"/>
      <c r="W39" s="63"/>
      <c r="X39" s="96"/>
      <c r="Y39" s="97"/>
      <c r="Z39" s="95"/>
      <c r="AA39" s="98"/>
      <c r="AB39" s="99"/>
      <c r="AC39" s="100"/>
      <c r="AD39" s="101"/>
      <c r="AE39" s="102"/>
      <c r="AF39" s="103"/>
      <c r="AG39" s="104"/>
      <c r="AH39" s="105"/>
      <c r="AI39" s="106"/>
      <c r="AJ39" s="104"/>
      <c r="AK39" s="105"/>
      <c r="AL39" s="106"/>
      <c r="AM39" s="104"/>
      <c r="AN39" s="105"/>
      <c r="AO39" s="106"/>
      <c r="AP39" s="107"/>
      <c r="AQ39" s="108"/>
      <c r="AR39" s="108"/>
      <c r="AS39" s="108"/>
    </row>
    <row r="40" spans="1:45" ht="18" customHeight="1" x14ac:dyDescent="0.45">
      <c r="A40" s="83"/>
      <c r="B40" s="46"/>
      <c r="C40" s="46"/>
      <c r="D40" s="46"/>
      <c r="E40" s="109"/>
      <c r="F40" s="46"/>
      <c r="G40" s="110"/>
      <c r="H40" s="111"/>
      <c r="I40" s="112"/>
      <c r="J40" s="113"/>
      <c r="K40" s="114"/>
      <c r="L40" s="114"/>
      <c r="M40" s="115"/>
      <c r="N40" s="91"/>
      <c r="O40" s="117"/>
      <c r="P40" s="118"/>
      <c r="Q40" s="119"/>
      <c r="R40" s="120"/>
      <c r="S40" s="68"/>
      <c r="T40" s="121"/>
      <c r="U40" s="122"/>
      <c r="V40" s="120"/>
      <c r="W40" s="68"/>
      <c r="X40" s="121"/>
      <c r="Y40" s="122"/>
      <c r="Z40" s="120"/>
      <c r="AA40" s="98"/>
      <c r="AB40" s="124"/>
      <c r="AC40" s="100"/>
      <c r="AD40" s="125"/>
      <c r="AE40" s="126"/>
      <c r="AF40" s="127"/>
      <c r="AG40" s="128"/>
      <c r="AH40" s="129"/>
      <c r="AI40" s="130"/>
      <c r="AJ40" s="128"/>
      <c r="AK40" s="129"/>
      <c r="AL40" s="130"/>
      <c r="AM40" s="128"/>
      <c r="AN40" s="129"/>
      <c r="AO40" s="130"/>
      <c r="AP40" s="107"/>
      <c r="AQ40" s="131"/>
      <c r="AR40" s="131"/>
      <c r="AS40" s="131"/>
    </row>
    <row r="41" spans="1:45" ht="18" customHeight="1" x14ac:dyDescent="0.45">
      <c r="A41" s="83"/>
      <c r="B41" s="84"/>
      <c r="C41" s="84"/>
      <c r="D41" s="84"/>
      <c r="E41" s="51"/>
      <c r="F41" s="84"/>
      <c r="G41" s="85"/>
      <c r="H41" s="86"/>
      <c r="I41" s="87"/>
      <c r="J41" s="88"/>
      <c r="K41" s="89"/>
      <c r="L41" s="89"/>
      <c r="M41" s="90"/>
      <c r="N41" s="91"/>
      <c r="O41" s="92"/>
      <c r="P41" s="93"/>
      <c r="Q41" s="94"/>
      <c r="R41" s="95"/>
      <c r="S41" s="63"/>
      <c r="T41" s="96"/>
      <c r="U41" s="97"/>
      <c r="V41" s="95"/>
      <c r="W41" s="63"/>
      <c r="X41" s="96"/>
      <c r="Y41" s="97"/>
      <c r="Z41" s="95"/>
      <c r="AA41" s="98"/>
      <c r="AB41" s="99"/>
      <c r="AC41" s="100"/>
      <c r="AD41" s="101"/>
      <c r="AE41" s="102"/>
      <c r="AF41" s="103"/>
      <c r="AG41" s="104"/>
      <c r="AH41" s="105"/>
      <c r="AI41" s="106"/>
      <c r="AJ41" s="104"/>
      <c r="AK41" s="105"/>
      <c r="AL41" s="106"/>
      <c r="AM41" s="104"/>
      <c r="AN41" s="105"/>
      <c r="AO41" s="106"/>
      <c r="AP41" s="107"/>
      <c r="AQ41" s="108"/>
      <c r="AR41" s="108"/>
      <c r="AS41" s="108"/>
    </row>
    <row r="42" spans="1:45" ht="18" customHeight="1" x14ac:dyDescent="0.45">
      <c r="A42" s="83"/>
      <c r="B42" s="46"/>
      <c r="C42" s="46"/>
      <c r="D42" s="46"/>
      <c r="E42" s="109"/>
      <c r="F42" s="46"/>
      <c r="G42" s="110"/>
      <c r="H42" s="111"/>
      <c r="I42" s="112"/>
      <c r="J42" s="113"/>
      <c r="K42" s="114"/>
      <c r="L42" s="114"/>
      <c r="M42" s="115"/>
      <c r="N42" s="91"/>
      <c r="O42" s="117"/>
      <c r="P42" s="118"/>
      <c r="Q42" s="119"/>
      <c r="R42" s="120"/>
      <c r="S42" s="68"/>
      <c r="T42" s="121"/>
      <c r="U42" s="122"/>
      <c r="V42" s="120"/>
      <c r="W42" s="68"/>
      <c r="X42" s="121"/>
      <c r="Y42" s="122"/>
      <c r="Z42" s="120"/>
      <c r="AA42" s="98"/>
      <c r="AB42" s="124"/>
      <c r="AC42" s="100"/>
      <c r="AD42" s="125"/>
      <c r="AE42" s="126"/>
      <c r="AF42" s="127"/>
      <c r="AG42" s="128"/>
      <c r="AH42" s="129"/>
      <c r="AI42" s="130"/>
      <c r="AJ42" s="128"/>
      <c r="AK42" s="129"/>
      <c r="AL42" s="130"/>
      <c r="AM42" s="128"/>
      <c r="AN42" s="129"/>
      <c r="AO42" s="130"/>
      <c r="AP42" s="107"/>
      <c r="AQ42" s="131"/>
      <c r="AR42" s="131"/>
      <c r="AS42" s="131"/>
    </row>
    <row r="43" spans="1:45" ht="18" customHeight="1" x14ac:dyDescent="0.45">
      <c r="A43" s="83"/>
      <c r="B43" s="84"/>
      <c r="C43" s="84"/>
      <c r="D43" s="84"/>
      <c r="E43" s="51"/>
      <c r="F43" s="84"/>
      <c r="G43" s="85"/>
      <c r="H43" s="86"/>
      <c r="I43" s="87"/>
      <c r="J43" s="88"/>
      <c r="K43" s="89"/>
      <c r="L43" s="89"/>
      <c r="M43" s="90"/>
      <c r="N43" s="91"/>
      <c r="O43" s="92"/>
      <c r="P43" s="93"/>
      <c r="Q43" s="94"/>
      <c r="R43" s="95"/>
      <c r="S43" s="63"/>
      <c r="T43" s="96"/>
      <c r="U43" s="97"/>
      <c r="V43" s="95"/>
      <c r="W43" s="63"/>
      <c r="X43" s="96"/>
      <c r="Y43" s="97"/>
      <c r="Z43" s="95"/>
      <c r="AA43" s="98"/>
      <c r="AB43" s="99"/>
      <c r="AC43" s="100"/>
      <c r="AD43" s="101"/>
      <c r="AE43" s="102"/>
      <c r="AF43" s="103"/>
      <c r="AG43" s="104"/>
      <c r="AH43" s="105"/>
      <c r="AI43" s="106"/>
      <c r="AJ43" s="104"/>
      <c r="AK43" s="105"/>
      <c r="AL43" s="106"/>
      <c r="AM43" s="104"/>
      <c r="AN43" s="105"/>
      <c r="AO43" s="106"/>
      <c r="AP43" s="107"/>
      <c r="AQ43" s="108"/>
      <c r="AR43" s="108"/>
      <c r="AS43" s="108"/>
    </row>
    <row r="44" spans="1:45" ht="18" customHeight="1" x14ac:dyDescent="0.45">
      <c r="A44" s="83"/>
      <c r="B44" s="46"/>
      <c r="C44" s="46"/>
      <c r="D44" s="46"/>
      <c r="E44" s="109"/>
      <c r="F44" s="46"/>
      <c r="G44" s="110"/>
      <c r="H44" s="111"/>
      <c r="I44" s="112"/>
      <c r="J44" s="113"/>
      <c r="K44" s="114"/>
      <c r="L44" s="114"/>
      <c r="M44" s="115"/>
      <c r="N44" s="91"/>
      <c r="O44" s="117"/>
      <c r="P44" s="118"/>
      <c r="Q44" s="119"/>
      <c r="R44" s="120"/>
      <c r="S44" s="68"/>
      <c r="T44" s="121"/>
      <c r="U44" s="122"/>
      <c r="V44" s="120"/>
      <c r="W44" s="68"/>
      <c r="X44" s="121"/>
      <c r="Y44" s="122"/>
      <c r="Z44" s="120"/>
      <c r="AA44" s="98"/>
      <c r="AB44" s="124"/>
      <c r="AC44" s="100"/>
      <c r="AD44" s="125"/>
      <c r="AE44" s="126"/>
      <c r="AF44" s="127"/>
      <c r="AG44" s="128"/>
      <c r="AH44" s="129"/>
      <c r="AI44" s="130"/>
      <c r="AJ44" s="128"/>
      <c r="AK44" s="129"/>
      <c r="AL44" s="130"/>
      <c r="AM44" s="128"/>
      <c r="AN44" s="129"/>
      <c r="AO44" s="130"/>
      <c r="AP44" s="107"/>
      <c r="AQ44" s="131"/>
      <c r="AR44" s="131"/>
      <c r="AS44" s="131"/>
    </row>
    <row r="45" spans="1:45" ht="18" customHeight="1" x14ac:dyDescent="0.45">
      <c r="A45" s="83"/>
      <c r="B45" s="84"/>
      <c r="C45" s="84"/>
      <c r="D45" s="84"/>
      <c r="E45" s="51"/>
      <c r="F45" s="84"/>
      <c r="G45" s="85"/>
      <c r="H45" s="86"/>
      <c r="I45" s="87"/>
      <c r="J45" s="88"/>
      <c r="K45" s="89"/>
      <c r="L45" s="89"/>
      <c r="M45" s="90"/>
      <c r="N45" s="91"/>
      <c r="O45" s="92"/>
      <c r="P45" s="93"/>
      <c r="Q45" s="94"/>
      <c r="R45" s="95"/>
      <c r="S45" s="63"/>
      <c r="T45" s="96"/>
      <c r="U45" s="97"/>
      <c r="V45" s="95"/>
      <c r="W45" s="63"/>
      <c r="X45" s="96"/>
      <c r="Y45" s="97"/>
      <c r="Z45" s="95"/>
      <c r="AA45" s="98"/>
      <c r="AB45" s="99"/>
      <c r="AC45" s="100"/>
      <c r="AD45" s="101"/>
      <c r="AE45" s="102"/>
      <c r="AF45" s="103"/>
      <c r="AG45" s="104"/>
      <c r="AH45" s="105"/>
      <c r="AI45" s="106"/>
      <c r="AJ45" s="104"/>
      <c r="AK45" s="105"/>
      <c r="AL45" s="106"/>
      <c r="AM45" s="104"/>
      <c r="AN45" s="105"/>
      <c r="AO45" s="106"/>
      <c r="AP45" s="107"/>
      <c r="AQ45" s="108"/>
      <c r="AR45" s="108"/>
      <c r="AS45" s="108"/>
    </row>
    <row r="46" spans="1:45" ht="18" customHeight="1" x14ac:dyDescent="0.45">
      <c r="A46" s="83"/>
      <c r="B46" s="46"/>
      <c r="C46" s="46"/>
      <c r="D46" s="46"/>
      <c r="E46" s="109"/>
      <c r="F46" s="46"/>
      <c r="G46" s="110"/>
      <c r="H46" s="111"/>
      <c r="I46" s="112"/>
      <c r="J46" s="113"/>
      <c r="K46" s="114"/>
      <c r="L46" s="114"/>
      <c r="M46" s="115"/>
      <c r="N46" s="91"/>
      <c r="O46" s="117"/>
      <c r="P46" s="118"/>
      <c r="Q46" s="119"/>
      <c r="R46" s="120"/>
      <c r="S46" s="68"/>
      <c r="T46" s="121"/>
      <c r="U46" s="122"/>
      <c r="V46" s="120"/>
      <c r="W46" s="68"/>
      <c r="X46" s="121"/>
      <c r="Y46" s="122"/>
      <c r="Z46" s="120"/>
      <c r="AA46" s="98"/>
      <c r="AB46" s="124"/>
      <c r="AC46" s="100"/>
      <c r="AD46" s="125"/>
      <c r="AE46" s="126"/>
      <c r="AF46" s="127"/>
      <c r="AG46" s="128"/>
      <c r="AH46" s="129"/>
      <c r="AI46" s="130"/>
      <c r="AJ46" s="128"/>
      <c r="AK46" s="129"/>
      <c r="AL46" s="130"/>
      <c r="AM46" s="128"/>
      <c r="AN46" s="129"/>
      <c r="AO46" s="130"/>
      <c r="AP46" s="107"/>
      <c r="AQ46" s="131"/>
      <c r="AR46" s="131"/>
      <c r="AS46" s="131"/>
    </row>
    <row r="47" spans="1:45" ht="18" customHeight="1" x14ac:dyDescent="0.45">
      <c r="A47" s="83"/>
      <c r="B47" s="84"/>
      <c r="C47" s="84"/>
      <c r="D47" s="84"/>
      <c r="E47" s="51"/>
      <c r="F47" s="84"/>
      <c r="G47" s="85"/>
      <c r="H47" s="86"/>
      <c r="I47" s="87"/>
      <c r="J47" s="88"/>
      <c r="K47" s="89"/>
      <c r="L47" s="89"/>
      <c r="M47" s="90"/>
      <c r="N47" s="91"/>
      <c r="O47" s="92"/>
      <c r="P47" s="93"/>
      <c r="Q47" s="94"/>
      <c r="R47" s="95"/>
      <c r="S47" s="63"/>
      <c r="T47" s="96"/>
      <c r="U47" s="97"/>
      <c r="V47" s="95"/>
      <c r="W47" s="63"/>
      <c r="X47" s="96"/>
      <c r="Y47" s="97"/>
      <c r="Z47" s="95"/>
      <c r="AA47" s="98"/>
      <c r="AB47" s="99"/>
      <c r="AC47" s="100"/>
      <c r="AD47" s="101"/>
      <c r="AE47" s="102"/>
      <c r="AF47" s="103"/>
      <c r="AG47" s="104"/>
      <c r="AH47" s="105"/>
      <c r="AI47" s="106"/>
      <c r="AJ47" s="104"/>
      <c r="AK47" s="105"/>
      <c r="AL47" s="106"/>
      <c r="AM47" s="104"/>
      <c r="AN47" s="105"/>
      <c r="AO47" s="106"/>
      <c r="AP47" s="107"/>
      <c r="AQ47" s="108"/>
      <c r="AR47" s="108"/>
      <c r="AS47" s="108"/>
    </row>
    <row r="48" spans="1:45" ht="18" customHeight="1" x14ac:dyDescent="0.45">
      <c r="A48" s="83"/>
      <c r="B48" s="46"/>
      <c r="C48" s="46"/>
      <c r="D48" s="46"/>
      <c r="E48" s="109"/>
      <c r="F48" s="46"/>
      <c r="G48" s="110"/>
      <c r="H48" s="111"/>
      <c r="I48" s="112"/>
      <c r="J48" s="113"/>
      <c r="K48" s="114"/>
      <c r="L48" s="114"/>
      <c r="M48" s="115"/>
      <c r="N48" s="91"/>
      <c r="O48" s="117"/>
      <c r="P48" s="118"/>
      <c r="Q48" s="119"/>
      <c r="R48" s="120"/>
      <c r="S48" s="68"/>
      <c r="T48" s="121"/>
      <c r="U48" s="122"/>
      <c r="V48" s="120"/>
      <c r="W48" s="68"/>
      <c r="X48" s="121"/>
      <c r="Y48" s="122"/>
      <c r="Z48" s="120"/>
      <c r="AA48" s="98"/>
      <c r="AB48" s="124"/>
      <c r="AC48" s="100"/>
      <c r="AD48" s="125"/>
      <c r="AE48" s="126"/>
      <c r="AF48" s="127"/>
      <c r="AG48" s="128"/>
      <c r="AH48" s="129"/>
      <c r="AI48" s="130"/>
      <c r="AJ48" s="128"/>
      <c r="AK48" s="129"/>
      <c r="AL48" s="130"/>
      <c r="AM48" s="128"/>
      <c r="AN48" s="129"/>
      <c r="AO48" s="130"/>
      <c r="AP48" s="107"/>
      <c r="AQ48" s="131"/>
      <c r="AR48" s="131"/>
      <c r="AS48" s="131"/>
    </row>
    <row r="49" spans="1:45" ht="18" customHeight="1" x14ac:dyDescent="0.45">
      <c r="A49" s="83"/>
      <c r="B49" s="84"/>
      <c r="C49" s="84"/>
      <c r="D49" s="84"/>
      <c r="E49" s="51"/>
      <c r="F49" s="84"/>
      <c r="G49" s="85"/>
      <c r="H49" s="86"/>
      <c r="I49" s="87"/>
      <c r="J49" s="88"/>
      <c r="K49" s="89"/>
      <c r="L49" s="89"/>
      <c r="M49" s="90"/>
      <c r="N49" s="91"/>
      <c r="O49" s="92"/>
      <c r="P49" s="93"/>
      <c r="Q49" s="94"/>
      <c r="R49" s="95"/>
      <c r="S49" s="63"/>
      <c r="T49" s="96"/>
      <c r="U49" s="97"/>
      <c r="V49" s="95"/>
      <c r="W49" s="63"/>
      <c r="X49" s="96"/>
      <c r="Y49" s="97"/>
      <c r="Z49" s="95"/>
      <c r="AA49" s="98"/>
      <c r="AB49" s="99"/>
      <c r="AC49" s="100"/>
      <c r="AD49" s="101"/>
      <c r="AE49" s="102"/>
      <c r="AF49" s="103"/>
      <c r="AG49" s="104"/>
      <c r="AH49" s="105"/>
      <c r="AI49" s="106"/>
      <c r="AJ49" s="104"/>
      <c r="AK49" s="105"/>
      <c r="AL49" s="106"/>
      <c r="AM49" s="104"/>
      <c r="AN49" s="105"/>
      <c r="AO49" s="106"/>
      <c r="AP49" s="107"/>
      <c r="AQ49" s="108"/>
      <c r="AR49" s="108"/>
      <c r="AS49" s="108"/>
    </row>
    <row r="50" spans="1:45" ht="18" customHeight="1" x14ac:dyDescent="0.45">
      <c r="A50" s="83"/>
      <c r="B50" s="46"/>
      <c r="C50" s="46"/>
      <c r="D50" s="46"/>
      <c r="E50" s="109"/>
      <c r="F50" s="46"/>
      <c r="G50" s="110"/>
      <c r="H50" s="111"/>
      <c r="I50" s="112"/>
      <c r="J50" s="113"/>
      <c r="K50" s="114"/>
      <c r="L50" s="114"/>
      <c r="M50" s="115"/>
      <c r="N50" s="116"/>
      <c r="O50" s="117"/>
      <c r="P50" s="118"/>
      <c r="Q50" s="119"/>
      <c r="R50" s="120"/>
      <c r="S50" s="68"/>
      <c r="T50" s="121"/>
      <c r="U50" s="122"/>
      <c r="V50" s="120"/>
      <c r="W50" s="68"/>
      <c r="X50" s="121"/>
      <c r="Y50" s="122"/>
      <c r="Z50" s="120"/>
      <c r="AA50" s="123"/>
      <c r="AB50" s="124"/>
      <c r="AC50" s="100"/>
      <c r="AD50" s="125"/>
      <c r="AE50" s="126"/>
      <c r="AF50" s="127"/>
      <c r="AG50" s="128"/>
      <c r="AH50" s="129"/>
      <c r="AI50" s="130"/>
      <c r="AJ50" s="128"/>
      <c r="AK50" s="129"/>
      <c r="AL50" s="130"/>
      <c r="AM50" s="128"/>
      <c r="AN50" s="129"/>
      <c r="AO50" s="130"/>
      <c r="AP50" s="107"/>
      <c r="AQ50" s="131"/>
      <c r="AR50" s="131"/>
      <c r="AS50" s="131"/>
    </row>
    <row r="51" spans="1:45" ht="18" customHeight="1" x14ac:dyDescent="0.45">
      <c r="A51" s="83"/>
      <c r="B51" s="84"/>
      <c r="C51" s="84"/>
      <c r="D51" s="84"/>
      <c r="E51" s="51"/>
      <c r="F51" s="84"/>
      <c r="G51" s="85"/>
      <c r="H51" s="86"/>
      <c r="I51" s="87"/>
      <c r="J51" s="88"/>
      <c r="K51" s="89"/>
      <c r="L51" s="89"/>
      <c r="M51" s="90"/>
      <c r="N51" s="91"/>
      <c r="O51" s="92"/>
      <c r="P51" s="93"/>
      <c r="Q51" s="94"/>
      <c r="R51" s="95"/>
      <c r="S51" s="63"/>
      <c r="T51" s="96"/>
      <c r="U51" s="97"/>
      <c r="V51" s="95"/>
      <c r="W51" s="63"/>
      <c r="X51" s="96"/>
      <c r="Y51" s="97"/>
      <c r="Z51" s="95"/>
      <c r="AA51" s="98"/>
      <c r="AB51" s="99"/>
      <c r="AC51" s="100"/>
      <c r="AD51" s="101"/>
      <c r="AE51" s="102"/>
      <c r="AF51" s="103"/>
      <c r="AG51" s="104"/>
      <c r="AH51" s="105"/>
      <c r="AI51" s="106"/>
      <c r="AJ51" s="104"/>
      <c r="AK51" s="105"/>
      <c r="AL51" s="106"/>
      <c r="AM51" s="104"/>
      <c r="AN51" s="105"/>
      <c r="AO51" s="106"/>
      <c r="AP51" s="107"/>
      <c r="AQ51" s="108"/>
      <c r="AR51" s="108"/>
      <c r="AS51" s="108"/>
    </row>
    <row r="52" spans="1:45" ht="18" customHeight="1" x14ac:dyDescent="0.45">
      <c r="A52" s="83"/>
      <c r="B52" s="46"/>
      <c r="C52" s="46"/>
      <c r="D52" s="46"/>
      <c r="E52" s="109"/>
      <c r="F52" s="46"/>
      <c r="G52" s="110"/>
      <c r="H52" s="111"/>
      <c r="I52" s="112"/>
      <c r="J52" s="113"/>
      <c r="K52" s="114"/>
      <c r="L52" s="114"/>
      <c r="M52" s="115"/>
      <c r="N52" s="116"/>
      <c r="O52" s="117"/>
      <c r="P52" s="118"/>
      <c r="Q52" s="119"/>
      <c r="R52" s="120"/>
      <c r="S52" s="68"/>
      <c r="T52" s="121"/>
      <c r="U52" s="122"/>
      <c r="V52" s="120"/>
      <c r="W52" s="68"/>
      <c r="X52" s="121"/>
      <c r="Y52" s="122"/>
      <c r="Z52" s="120"/>
      <c r="AA52" s="123"/>
      <c r="AB52" s="124"/>
      <c r="AC52" s="100"/>
      <c r="AD52" s="125"/>
      <c r="AE52" s="126"/>
      <c r="AF52" s="127"/>
      <c r="AG52" s="128"/>
      <c r="AH52" s="129"/>
      <c r="AI52" s="130"/>
      <c r="AJ52" s="128"/>
      <c r="AK52" s="129"/>
      <c r="AL52" s="130"/>
      <c r="AM52" s="128"/>
      <c r="AN52" s="129"/>
      <c r="AO52" s="130"/>
      <c r="AP52" s="107"/>
      <c r="AQ52" s="131"/>
      <c r="AR52" s="131"/>
      <c r="AS52" s="131"/>
    </row>
    <row r="53" spans="1:45" ht="18" customHeight="1" x14ac:dyDescent="0.45">
      <c r="A53" s="83"/>
      <c r="B53" s="84"/>
      <c r="C53" s="84"/>
      <c r="D53" s="84"/>
      <c r="E53" s="51"/>
      <c r="F53" s="84"/>
      <c r="G53" s="85"/>
      <c r="H53" s="86"/>
      <c r="I53" s="87"/>
      <c r="J53" s="88"/>
      <c r="K53" s="89"/>
      <c r="L53" s="89"/>
      <c r="M53" s="90"/>
      <c r="N53" s="91"/>
      <c r="O53" s="92"/>
      <c r="P53" s="93"/>
      <c r="Q53" s="94"/>
      <c r="R53" s="95"/>
      <c r="S53" s="63"/>
      <c r="T53" s="96"/>
      <c r="U53" s="97"/>
      <c r="V53" s="95"/>
      <c r="W53" s="63"/>
      <c r="X53" s="96"/>
      <c r="Y53" s="97"/>
      <c r="Z53" s="95"/>
      <c r="AA53" s="98"/>
      <c r="AB53" s="99"/>
      <c r="AC53" s="100"/>
      <c r="AD53" s="101"/>
      <c r="AE53" s="102"/>
      <c r="AF53" s="103"/>
      <c r="AG53" s="104"/>
      <c r="AH53" s="105"/>
      <c r="AI53" s="106"/>
      <c r="AJ53" s="104"/>
      <c r="AK53" s="105"/>
      <c r="AL53" s="106"/>
      <c r="AM53" s="104"/>
      <c r="AN53" s="105"/>
      <c r="AO53" s="106"/>
      <c r="AP53" s="107"/>
      <c r="AQ53" s="108"/>
      <c r="AR53" s="108"/>
      <c r="AS53" s="108"/>
    </row>
    <row r="54" spans="1:45" ht="18" customHeight="1" x14ac:dyDescent="0.45">
      <c r="A54" s="83"/>
      <c r="B54" s="46"/>
      <c r="C54" s="46"/>
      <c r="D54" s="46"/>
      <c r="E54" s="109"/>
      <c r="F54" s="46"/>
      <c r="G54" s="110"/>
      <c r="H54" s="111"/>
      <c r="I54" s="112"/>
      <c r="J54" s="113"/>
      <c r="K54" s="114"/>
      <c r="L54" s="114"/>
      <c r="M54" s="115"/>
      <c r="N54" s="116"/>
      <c r="O54" s="117"/>
      <c r="P54" s="118"/>
      <c r="Q54" s="119"/>
      <c r="R54" s="120"/>
      <c r="S54" s="68"/>
      <c r="T54" s="121"/>
      <c r="U54" s="122"/>
      <c r="V54" s="120"/>
      <c r="W54" s="68"/>
      <c r="X54" s="121"/>
      <c r="Y54" s="122"/>
      <c r="Z54" s="120"/>
      <c r="AA54" s="123"/>
      <c r="AB54" s="124"/>
      <c r="AC54" s="100"/>
      <c r="AD54" s="125"/>
      <c r="AE54" s="126"/>
      <c r="AF54" s="127"/>
      <c r="AG54" s="128"/>
      <c r="AH54" s="129"/>
      <c r="AI54" s="130"/>
      <c r="AJ54" s="128"/>
      <c r="AK54" s="129"/>
      <c r="AL54" s="130"/>
      <c r="AM54" s="128"/>
      <c r="AN54" s="129"/>
      <c r="AO54" s="130"/>
      <c r="AP54" s="107"/>
      <c r="AQ54" s="131"/>
      <c r="AR54" s="131"/>
      <c r="AS54" s="131"/>
    </row>
    <row r="55" spans="1:45" ht="18" customHeight="1" x14ac:dyDescent="0.45">
      <c r="A55" s="83"/>
      <c r="B55" s="84"/>
      <c r="C55" s="84"/>
      <c r="D55" s="84"/>
      <c r="E55" s="51"/>
      <c r="F55" s="84"/>
      <c r="G55" s="85"/>
      <c r="H55" s="86"/>
      <c r="I55" s="87"/>
      <c r="J55" s="88"/>
      <c r="K55" s="89"/>
      <c r="L55" s="89"/>
      <c r="M55" s="90"/>
      <c r="N55" s="91"/>
      <c r="O55" s="92"/>
      <c r="P55" s="93"/>
      <c r="Q55" s="94"/>
      <c r="R55" s="95"/>
      <c r="S55" s="63"/>
      <c r="T55" s="96"/>
      <c r="U55" s="97"/>
      <c r="V55" s="95"/>
      <c r="W55" s="63"/>
      <c r="X55" s="96"/>
      <c r="Y55" s="97"/>
      <c r="Z55" s="95"/>
      <c r="AA55" s="98"/>
      <c r="AB55" s="99"/>
      <c r="AC55" s="100"/>
      <c r="AD55" s="101"/>
      <c r="AE55" s="102"/>
      <c r="AF55" s="103"/>
      <c r="AG55" s="104"/>
      <c r="AH55" s="105"/>
      <c r="AI55" s="106"/>
      <c r="AJ55" s="104"/>
      <c r="AK55" s="105"/>
      <c r="AL55" s="106"/>
      <c r="AM55" s="104"/>
      <c r="AN55" s="105"/>
      <c r="AO55" s="106"/>
      <c r="AP55" s="107"/>
      <c r="AQ55" s="108"/>
      <c r="AR55" s="108"/>
      <c r="AS55" s="108"/>
    </row>
    <row r="56" spans="1:45" ht="18" customHeight="1" x14ac:dyDescent="0.45">
      <c r="A56" s="83"/>
      <c r="B56" s="46"/>
      <c r="C56" s="46"/>
      <c r="D56" s="46"/>
      <c r="E56" s="109"/>
      <c r="F56" s="46"/>
      <c r="G56" s="110"/>
      <c r="H56" s="111"/>
      <c r="I56" s="112"/>
      <c r="J56" s="113"/>
      <c r="K56" s="114"/>
      <c r="L56" s="114"/>
      <c r="M56" s="115"/>
      <c r="N56" s="116"/>
      <c r="O56" s="117"/>
      <c r="P56" s="118"/>
      <c r="Q56" s="119"/>
      <c r="R56" s="120"/>
      <c r="S56" s="68"/>
      <c r="T56" s="121"/>
      <c r="U56" s="122"/>
      <c r="V56" s="120"/>
      <c r="W56" s="68"/>
      <c r="X56" s="121"/>
      <c r="Y56" s="122"/>
      <c r="Z56" s="120"/>
      <c r="AA56" s="123"/>
      <c r="AB56" s="124"/>
      <c r="AC56" s="100"/>
      <c r="AD56" s="125"/>
      <c r="AE56" s="126"/>
      <c r="AF56" s="127"/>
      <c r="AG56" s="128"/>
      <c r="AH56" s="129"/>
      <c r="AI56" s="130"/>
      <c r="AJ56" s="128"/>
      <c r="AK56" s="129"/>
      <c r="AL56" s="130"/>
      <c r="AM56" s="128"/>
      <c r="AN56" s="129"/>
      <c r="AO56" s="130"/>
      <c r="AP56" s="107"/>
      <c r="AQ56" s="131"/>
      <c r="AR56" s="131"/>
      <c r="AS56" s="131"/>
    </row>
    <row r="57" spans="1:45" ht="18" customHeight="1" x14ac:dyDescent="0.45">
      <c r="A57" s="83"/>
      <c r="B57" s="84"/>
      <c r="C57" s="84"/>
      <c r="D57" s="84"/>
      <c r="E57" s="51"/>
      <c r="F57" s="84"/>
      <c r="G57" s="85"/>
      <c r="H57" s="86"/>
      <c r="I57" s="87"/>
      <c r="J57" s="88"/>
      <c r="K57" s="89"/>
      <c r="L57" s="89"/>
      <c r="M57" s="90"/>
      <c r="N57" s="91"/>
      <c r="O57" s="92"/>
      <c r="P57" s="93"/>
      <c r="Q57" s="94"/>
      <c r="R57" s="95"/>
      <c r="S57" s="63"/>
      <c r="T57" s="96"/>
      <c r="U57" s="97"/>
      <c r="V57" s="95"/>
      <c r="W57" s="63"/>
      <c r="X57" s="96"/>
      <c r="Y57" s="97"/>
      <c r="Z57" s="95"/>
      <c r="AA57" s="98"/>
      <c r="AB57" s="99"/>
      <c r="AC57" s="100"/>
      <c r="AD57" s="101"/>
      <c r="AE57" s="102"/>
      <c r="AF57" s="103"/>
      <c r="AG57" s="104"/>
      <c r="AH57" s="105"/>
      <c r="AI57" s="106"/>
      <c r="AJ57" s="104"/>
      <c r="AK57" s="105"/>
      <c r="AL57" s="106"/>
      <c r="AM57" s="104"/>
      <c r="AN57" s="105"/>
      <c r="AO57" s="106"/>
      <c r="AP57" s="107"/>
      <c r="AQ57" s="108"/>
      <c r="AR57" s="108"/>
      <c r="AS57" s="108"/>
    </row>
    <row r="58" spans="1:45" ht="18" customHeight="1" x14ac:dyDescent="0.45">
      <c r="A58" s="83"/>
      <c r="B58" s="46"/>
      <c r="C58" s="46"/>
      <c r="D58" s="46"/>
      <c r="E58" s="109"/>
      <c r="F58" s="46"/>
      <c r="G58" s="110"/>
      <c r="H58" s="111"/>
      <c r="I58" s="112"/>
      <c r="J58" s="113"/>
      <c r="K58" s="114"/>
      <c r="L58" s="114"/>
      <c r="M58" s="115"/>
      <c r="N58" s="116"/>
      <c r="O58" s="117"/>
      <c r="P58" s="118"/>
      <c r="Q58" s="119"/>
      <c r="R58" s="120"/>
      <c r="S58" s="68"/>
      <c r="T58" s="121"/>
      <c r="U58" s="122"/>
      <c r="V58" s="120"/>
      <c r="W58" s="68"/>
      <c r="X58" s="121"/>
      <c r="Y58" s="122"/>
      <c r="Z58" s="120"/>
      <c r="AA58" s="123"/>
      <c r="AB58" s="124"/>
      <c r="AC58" s="100"/>
      <c r="AD58" s="125"/>
      <c r="AE58" s="126"/>
      <c r="AF58" s="127"/>
      <c r="AG58" s="128"/>
      <c r="AH58" s="129"/>
      <c r="AI58" s="130"/>
      <c r="AJ58" s="128"/>
      <c r="AK58" s="129"/>
      <c r="AL58" s="130"/>
      <c r="AM58" s="128"/>
      <c r="AN58" s="129"/>
      <c r="AO58" s="130"/>
      <c r="AP58" s="107"/>
      <c r="AQ58" s="131"/>
      <c r="AR58" s="131"/>
      <c r="AS58" s="131"/>
    </row>
    <row r="59" spans="1:45" ht="18" customHeight="1" x14ac:dyDescent="0.45">
      <c r="A59" s="83"/>
      <c r="B59" s="84"/>
      <c r="C59" s="84"/>
      <c r="D59" s="84"/>
      <c r="E59" s="51"/>
      <c r="F59" s="84"/>
      <c r="G59" s="85"/>
      <c r="H59" s="86"/>
      <c r="I59" s="87"/>
      <c r="J59" s="88"/>
      <c r="K59" s="89"/>
      <c r="L59" s="89"/>
      <c r="M59" s="90"/>
      <c r="N59" s="91"/>
      <c r="O59" s="92"/>
      <c r="P59" s="93"/>
      <c r="Q59" s="94"/>
      <c r="R59" s="95"/>
      <c r="S59" s="63"/>
      <c r="T59" s="96"/>
      <c r="U59" s="97"/>
      <c r="V59" s="95"/>
      <c r="W59" s="63"/>
      <c r="X59" s="96"/>
      <c r="Y59" s="97"/>
      <c r="Z59" s="95"/>
      <c r="AA59" s="98"/>
      <c r="AB59" s="99"/>
      <c r="AC59" s="100"/>
      <c r="AD59" s="101"/>
      <c r="AE59" s="102"/>
      <c r="AF59" s="103"/>
      <c r="AG59" s="104"/>
      <c r="AH59" s="105"/>
      <c r="AI59" s="106"/>
      <c r="AJ59" s="104"/>
      <c r="AK59" s="105"/>
      <c r="AL59" s="106"/>
      <c r="AM59" s="104"/>
      <c r="AN59" s="105"/>
      <c r="AO59" s="106"/>
      <c r="AP59" s="107"/>
      <c r="AQ59" s="108"/>
      <c r="AR59" s="108"/>
      <c r="AS59" s="108"/>
    </row>
    <row r="60" spans="1:45" ht="18" customHeight="1" x14ac:dyDescent="0.45">
      <c r="A60" s="83"/>
      <c r="B60" s="46"/>
      <c r="C60" s="46"/>
      <c r="D60" s="46"/>
      <c r="E60" s="109"/>
      <c r="F60" s="46"/>
      <c r="G60" s="110"/>
      <c r="H60" s="111"/>
      <c r="I60" s="112"/>
      <c r="J60" s="113"/>
      <c r="K60" s="114"/>
      <c r="L60" s="114"/>
      <c r="M60" s="115"/>
      <c r="N60" s="116"/>
      <c r="O60" s="117"/>
      <c r="P60" s="118"/>
      <c r="Q60" s="119"/>
      <c r="R60" s="120"/>
      <c r="S60" s="68"/>
      <c r="T60" s="121"/>
      <c r="U60" s="122"/>
      <c r="V60" s="120"/>
      <c r="W60" s="68"/>
      <c r="X60" s="121"/>
      <c r="Y60" s="122"/>
      <c r="Z60" s="120"/>
      <c r="AA60" s="123"/>
      <c r="AB60" s="124"/>
      <c r="AC60" s="100"/>
      <c r="AD60" s="125"/>
      <c r="AE60" s="126"/>
      <c r="AF60" s="127"/>
      <c r="AG60" s="128"/>
      <c r="AH60" s="129"/>
      <c r="AI60" s="130"/>
      <c r="AJ60" s="128"/>
      <c r="AK60" s="129"/>
      <c r="AL60" s="130"/>
      <c r="AM60" s="128"/>
      <c r="AN60" s="129"/>
      <c r="AO60" s="130"/>
      <c r="AP60" s="107"/>
      <c r="AQ60" s="131"/>
      <c r="AR60" s="131"/>
      <c r="AS60" s="131"/>
    </row>
    <row r="61" spans="1:45" ht="18" customHeight="1" x14ac:dyDescent="0.45">
      <c r="A61" s="83"/>
      <c r="B61" s="84"/>
      <c r="C61" s="84"/>
      <c r="D61" s="84"/>
      <c r="E61" s="51"/>
      <c r="F61" s="84"/>
      <c r="G61" s="85"/>
      <c r="H61" s="86"/>
      <c r="I61" s="87"/>
      <c r="J61" s="88"/>
      <c r="K61" s="89"/>
      <c r="L61" s="89"/>
      <c r="M61" s="90"/>
      <c r="N61" s="91"/>
      <c r="O61" s="92"/>
      <c r="P61" s="93"/>
      <c r="Q61" s="94"/>
      <c r="R61" s="95"/>
      <c r="S61" s="63"/>
      <c r="T61" s="96"/>
      <c r="U61" s="97"/>
      <c r="V61" s="95"/>
      <c r="W61" s="63"/>
      <c r="X61" s="96"/>
      <c r="Y61" s="97"/>
      <c r="Z61" s="95"/>
      <c r="AA61" s="98"/>
      <c r="AB61" s="99"/>
      <c r="AC61" s="100"/>
      <c r="AD61" s="101"/>
      <c r="AE61" s="102"/>
      <c r="AF61" s="103"/>
      <c r="AG61" s="104"/>
      <c r="AH61" s="105"/>
      <c r="AI61" s="106"/>
      <c r="AJ61" s="104"/>
      <c r="AK61" s="105"/>
      <c r="AL61" s="106"/>
      <c r="AM61" s="104"/>
      <c r="AN61" s="105"/>
      <c r="AO61" s="106"/>
      <c r="AP61" s="107"/>
      <c r="AQ61" s="108"/>
      <c r="AR61" s="108"/>
      <c r="AS61" s="108"/>
    </row>
    <row r="62" spans="1:45" ht="18" customHeight="1" x14ac:dyDescent="0.45">
      <c r="A62" s="83"/>
      <c r="B62" s="46"/>
      <c r="C62" s="46"/>
      <c r="D62" s="46"/>
      <c r="E62" s="109"/>
      <c r="F62" s="46"/>
      <c r="G62" s="110"/>
      <c r="H62" s="111"/>
      <c r="I62" s="112"/>
      <c r="J62" s="113"/>
      <c r="K62" s="114"/>
      <c r="L62" s="114"/>
      <c r="M62" s="115"/>
      <c r="N62" s="116"/>
      <c r="O62" s="117"/>
      <c r="P62" s="118"/>
      <c r="Q62" s="119"/>
      <c r="R62" s="120"/>
      <c r="S62" s="68"/>
      <c r="T62" s="121"/>
      <c r="U62" s="122"/>
      <c r="V62" s="120"/>
      <c r="W62" s="68"/>
      <c r="X62" s="121"/>
      <c r="Y62" s="122"/>
      <c r="Z62" s="120"/>
      <c r="AA62" s="123"/>
      <c r="AB62" s="124"/>
      <c r="AC62" s="100"/>
      <c r="AD62" s="125"/>
      <c r="AE62" s="126"/>
      <c r="AF62" s="127"/>
      <c r="AG62" s="128"/>
      <c r="AH62" s="129"/>
      <c r="AI62" s="130"/>
      <c r="AJ62" s="128"/>
      <c r="AK62" s="129"/>
      <c r="AL62" s="130"/>
      <c r="AM62" s="128"/>
      <c r="AN62" s="129"/>
      <c r="AO62" s="130"/>
      <c r="AP62" s="107"/>
      <c r="AQ62" s="131"/>
      <c r="AR62" s="131"/>
      <c r="AS62" s="131"/>
    </row>
    <row r="63" spans="1:45" ht="18" customHeight="1" x14ac:dyDescent="0.45">
      <c r="A63" s="83"/>
      <c r="B63" s="84"/>
      <c r="C63" s="84"/>
      <c r="D63" s="84"/>
      <c r="E63" s="51"/>
      <c r="F63" s="84"/>
      <c r="G63" s="85"/>
      <c r="H63" s="86"/>
      <c r="I63" s="87"/>
      <c r="J63" s="88"/>
      <c r="K63" s="89"/>
      <c r="L63" s="89"/>
      <c r="M63" s="90"/>
      <c r="N63" s="91"/>
      <c r="O63" s="92"/>
      <c r="P63" s="93"/>
      <c r="Q63" s="94"/>
      <c r="R63" s="95"/>
      <c r="S63" s="63"/>
      <c r="T63" s="96"/>
      <c r="U63" s="97"/>
      <c r="V63" s="95"/>
      <c r="W63" s="63"/>
      <c r="X63" s="96"/>
      <c r="Y63" s="97"/>
      <c r="Z63" s="95"/>
      <c r="AA63" s="98"/>
      <c r="AB63" s="99"/>
      <c r="AC63" s="100"/>
      <c r="AD63" s="101"/>
      <c r="AE63" s="102"/>
      <c r="AF63" s="103"/>
      <c r="AG63" s="104"/>
      <c r="AH63" s="105"/>
      <c r="AI63" s="106"/>
      <c r="AJ63" s="104"/>
      <c r="AK63" s="105"/>
      <c r="AL63" s="106"/>
      <c r="AM63" s="104"/>
      <c r="AN63" s="105"/>
      <c r="AO63" s="106"/>
      <c r="AP63" s="107"/>
      <c r="AQ63" s="108"/>
      <c r="AR63" s="108"/>
      <c r="AS63" s="108"/>
    </row>
    <row r="64" spans="1:45" ht="18" customHeight="1" x14ac:dyDescent="0.45">
      <c r="A64" s="83"/>
      <c r="B64" s="46"/>
      <c r="C64" s="46"/>
      <c r="D64" s="46"/>
      <c r="E64" s="109"/>
      <c r="F64" s="46"/>
      <c r="G64" s="110"/>
      <c r="H64" s="111"/>
      <c r="I64" s="112"/>
      <c r="J64" s="113"/>
      <c r="K64" s="114"/>
      <c r="L64" s="114"/>
      <c r="M64" s="115"/>
      <c r="N64" s="116"/>
      <c r="O64" s="117"/>
      <c r="P64" s="118"/>
      <c r="Q64" s="119"/>
      <c r="R64" s="120"/>
      <c r="S64" s="68"/>
      <c r="T64" s="121"/>
      <c r="U64" s="122"/>
      <c r="V64" s="120"/>
      <c r="W64" s="68"/>
      <c r="X64" s="121"/>
      <c r="Y64" s="122"/>
      <c r="Z64" s="120"/>
      <c r="AA64" s="123"/>
      <c r="AB64" s="124"/>
      <c r="AC64" s="100"/>
      <c r="AD64" s="125"/>
      <c r="AE64" s="126"/>
      <c r="AF64" s="127"/>
      <c r="AG64" s="128"/>
      <c r="AH64" s="129"/>
      <c r="AI64" s="130"/>
      <c r="AJ64" s="128"/>
      <c r="AK64" s="129"/>
      <c r="AL64" s="130"/>
      <c r="AM64" s="128"/>
      <c r="AN64" s="129"/>
      <c r="AO64" s="130"/>
      <c r="AP64" s="107"/>
      <c r="AQ64" s="131"/>
      <c r="AR64" s="131"/>
      <c r="AS64" s="131"/>
    </row>
    <row r="65" spans="1:45" ht="18" customHeight="1" x14ac:dyDescent="0.45">
      <c r="A65" s="83"/>
      <c r="B65" s="84"/>
      <c r="C65" s="84"/>
      <c r="D65" s="84"/>
      <c r="E65" s="51"/>
      <c r="F65" s="84"/>
      <c r="G65" s="85"/>
      <c r="H65" s="86"/>
      <c r="I65" s="87"/>
      <c r="J65" s="88"/>
      <c r="K65" s="89"/>
      <c r="L65" s="89"/>
      <c r="M65" s="90"/>
      <c r="N65" s="91"/>
      <c r="O65" s="92"/>
      <c r="P65" s="93"/>
      <c r="Q65" s="94"/>
      <c r="R65" s="95"/>
      <c r="S65" s="63"/>
      <c r="T65" s="96"/>
      <c r="U65" s="97"/>
      <c r="V65" s="95"/>
      <c r="W65" s="63"/>
      <c r="X65" s="96"/>
      <c r="Y65" s="97"/>
      <c r="Z65" s="95"/>
      <c r="AA65" s="98"/>
      <c r="AB65" s="99"/>
      <c r="AC65" s="100"/>
      <c r="AD65" s="101"/>
      <c r="AE65" s="102"/>
      <c r="AF65" s="103"/>
      <c r="AG65" s="104"/>
      <c r="AH65" s="105"/>
      <c r="AI65" s="106"/>
      <c r="AJ65" s="104"/>
      <c r="AK65" s="105"/>
      <c r="AL65" s="106"/>
      <c r="AM65" s="104"/>
      <c r="AN65" s="105"/>
      <c r="AO65" s="106"/>
      <c r="AP65" s="107"/>
      <c r="AQ65" s="108"/>
      <c r="AR65" s="108"/>
      <c r="AS65" s="108"/>
    </row>
    <row r="66" spans="1:45" ht="18" customHeight="1" x14ac:dyDescent="0.45">
      <c r="A66" s="83"/>
      <c r="B66" s="46"/>
      <c r="C66" s="46"/>
      <c r="D66" s="46"/>
      <c r="E66" s="109"/>
      <c r="F66" s="46"/>
      <c r="G66" s="110"/>
      <c r="H66" s="111"/>
      <c r="I66" s="112"/>
      <c r="J66" s="113"/>
      <c r="K66" s="114"/>
      <c r="L66" s="114"/>
      <c r="M66" s="115"/>
      <c r="N66" s="116"/>
      <c r="O66" s="117"/>
      <c r="P66" s="118"/>
      <c r="Q66" s="119"/>
      <c r="R66" s="120"/>
      <c r="S66" s="68"/>
      <c r="T66" s="121"/>
      <c r="U66" s="122"/>
      <c r="V66" s="120"/>
      <c r="W66" s="68"/>
      <c r="X66" s="121"/>
      <c r="Y66" s="122"/>
      <c r="Z66" s="120"/>
      <c r="AA66" s="123"/>
      <c r="AB66" s="124"/>
      <c r="AC66" s="100"/>
      <c r="AD66" s="125"/>
      <c r="AE66" s="126"/>
      <c r="AF66" s="127"/>
      <c r="AG66" s="128"/>
      <c r="AH66" s="129"/>
      <c r="AI66" s="130"/>
      <c r="AJ66" s="128"/>
      <c r="AK66" s="129"/>
      <c r="AL66" s="130"/>
      <c r="AM66" s="128"/>
      <c r="AN66" s="129"/>
      <c r="AO66" s="130"/>
      <c r="AP66" s="107"/>
      <c r="AQ66" s="131"/>
      <c r="AR66" s="131"/>
      <c r="AS66" s="131"/>
    </row>
    <row r="67" spans="1:45" ht="18" customHeight="1" x14ac:dyDescent="0.45">
      <c r="A67" s="83"/>
      <c r="B67" s="84"/>
      <c r="C67" s="84"/>
      <c r="D67" s="84"/>
      <c r="E67" s="51"/>
      <c r="F67" s="84"/>
      <c r="G67" s="85"/>
      <c r="H67" s="86"/>
      <c r="I67" s="87"/>
      <c r="J67" s="88"/>
      <c r="K67" s="89"/>
      <c r="L67" s="89"/>
      <c r="M67" s="90"/>
      <c r="N67" s="91"/>
      <c r="O67" s="92"/>
      <c r="P67" s="93"/>
      <c r="Q67" s="94"/>
      <c r="R67" s="95"/>
      <c r="S67" s="63"/>
      <c r="T67" s="96"/>
      <c r="U67" s="97"/>
      <c r="V67" s="95"/>
      <c r="W67" s="63"/>
      <c r="X67" s="96"/>
      <c r="Y67" s="97"/>
      <c r="Z67" s="95"/>
      <c r="AA67" s="98"/>
      <c r="AB67" s="99"/>
      <c r="AC67" s="100"/>
      <c r="AD67" s="101"/>
      <c r="AE67" s="102"/>
      <c r="AF67" s="103"/>
      <c r="AG67" s="104"/>
      <c r="AH67" s="105"/>
      <c r="AI67" s="106"/>
      <c r="AJ67" s="104"/>
      <c r="AK67" s="105"/>
      <c r="AL67" s="106"/>
      <c r="AM67" s="104"/>
      <c r="AN67" s="105"/>
      <c r="AO67" s="106"/>
      <c r="AP67" s="107"/>
      <c r="AQ67" s="108"/>
      <c r="AR67" s="108"/>
      <c r="AS67" s="108"/>
    </row>
    <row r="68" spans="1:45" ht="18" customHeight="1" x14ac:dyDescent="0.45">
      <c r="A68" s="83"/>
      <c r="B68" s="46"/>
      <c r="C68" s="46"/>
      <c r="D68" s="46"/>
      <c r="E68" s="109"/>
      <c r="F68" s="46"/>
      <c r="G68" s="110"/>
      <c r="H68" s="111"/>
      <c r="I68" s="112"/>
      <c r="J68" s="113"/>
      <c r="K68" s="114"/>
      <c r="L68" s="114"/>
      <c r="M68" s="115"/>
      <c r="N68" s="116"/>
      <c r="O68" s="117"/>
      <c r="P68" s="118"/>
      <c r="Q68" s="119"/>
      <c r="R68" s="120"/>
      <c r="S68" s="68"/>
      <c r="T68" s="121"/>
      <c r="U68" s="122"/>
      <c r="V68" s="120"/>
      <c r="W68" s="68"/>
      <c r="X68" s="121"/>
      <c r="Y68" s="122"/>
      <c r="Z68" s="120"/>
      <c r="AA68" s="123"/>
      <c r="AB68" s="124"/>
      <c r="AC68" s="100"/>
      <c r="AD68" s="125"/>
      <c r="AE68" s="126"/>
      <c r="AF68" s="127"/>
      <c r="AG68" s="128"/>
      <c r="AH68" s="129"/>
      <c r="AI68" s="130"/>
      <c r="AJ68" s="128"/>
      <c r="AK68" s="129"/>
      <c r="AL68" s="130"/>
      <c r="AM68" s="128"/>
      <c r="AN68" s="129"/>
      <c r="AO68" s="130"/>
      <c r="AP68" s="107"/>
      <c r="AQ68" s="131"/>
      <c r="AR68" s="131"/>
      <c r="AS68" s="131"/>
    </row>
    <row r="69" spans="1:45" ht="18" customHeight="1" x14ac:dyDescent="0.45">
      <c r="A69" s="83"/>
      <c r="B69" s="84"/>
      <c r="C69" s="84"/>
      <c r="D69" s="84"/>
      <c r="E69" s="51"/>
      <c r="F69" s="84"/>
      <c r="G69" s="85"/>
      <c r="H69" s="86"/>
      <c r="I69" s="87"/>
      <c r="J69" s="88"/>
      <c r="K69" s="89"/>
      <c r="L69" s="89"/>
      <c r="M69" s="90"/>
      <c r="N69" s="91"/>
      <c r="O69" s="92"/>
      <c r="P69" s="93"/>
      <c r="Q69" s="94"/>
      <c r="R69" s="95"/>
      <c r="S69" s="63"/>
      <c r="T69" s="96"/>
      <c r="U69" s="97"/>
      <c r="V69" s="95"/>
      <c r="W69" s="63"/>
      <c r="X69" s="96"/>
      <c r="Y69" s="97"/>
      <c r="Z69" s="95"/>
      <c r="AA69" s="98"/>
      <c r="AB69" s="99"/>
      <c r="AC69" s="100"/>
      <c r="AD69" s="101"/>
      <c r="AE69" s="102"/>
      <c r="AF69" s="103"/>
      <c r="AG69" s="104"/>
      <c r="AH69" s="105"/>
      <c r="AI69" s="106"/>
      <c r="AJ69" s="104"/>
      <c r="AK69" s="105"/>
      <c r="AL69" s="106"/>
      <c r="AM69" s="104"/>
      <c r="AN69" s="105"/>
      <c r="AO69" s="106"/>
      <c r="AP69" s="107"/>
      <c r="AQ69" s="108"/>
      <c r="AR69" s="108"/>
      <c r="AS69" s="108"/>
    </row>
    <row r="70" spans="1:45" ht="18" customHeight="1" x14ac:dyDescent="0.45">
      <c r="A70" s="83"/>
      <c r="B70" s="46"/>
      <c r="C70" s="46"/>
      <c r="D70" s="46"/>
      <c r="E70" s="109"/>
      <c r="F70" s="46"/>
      <c r="G70" s="110"/>
      <c r="H70" s="111"/>
      <c r="I70" s="112"/>
      <c r="J70" s="113"/>
      <c r="K70" s="114"/>
      <c r="L70" s="114"/>
      <c r="M70" s="115"/>
      <c r="N70" s="116"/>
      <c r="O70" s="117"/>
      <c r="P70" s="118"/>
      <c r="Q70" s="119"/>
      <c r="R70" s="120"/>
      <c r="S70" s="68"/>
      <c r="T70" s="121"/>
      <c r="U70" s="122"/>
      <c r="V70" s="120"/>
      <c r="W70" s="68"/>
      <c r="X70" s="121"/>
      <c r="Y70" s="122"/>
      <c r="Z70" s="120"/>
      <c r="AA70" s="123"/>
      <c r="AB70" s="124"/>
      <c r="AC70" s="100"/>
      <c r="AD70" s="125"/>
      <c r="AE70" s="126"/>
      <c r="AF70" s="127"/>
      <c r="AG70" s="128"/>
      <c r="AH70" s="129"/>
      <c r="AI70" s="130"/>
      <c r="AJ70" s="128"/>
      <c r="AK70" s="129"/>
      <c r="AL70" s="130"/>
      <c r="AM70" s="128"/>
      <c r="AN70" s="129"/>
      <c r="AO70" s="130"/>
      <c r="AP70" s="107"/>
      <c r="AQ70" s="131"/>
      <c r="AR70" s="131"/>
      <c r="AS70" s="131"/>
    </row>
    <row r="71" spans="1:45" ht="18" customHeight="1" x14ac:dyDescent="0.45">
      <c r="A71" s="83"/>
      <c r="B71" s="84"/>
      <c r="C71" s="84"/>
      <c r="D71" s="84"/>
      <c r="E71" s="51"/>
      <c r="F71" s="84"/>
      <c r="G71" s="85"/>
      <c r="H71" s="86"/>
      <c r="I71" s="87"/>
      <c r="J71" s="88"/>
      <c r="K71" s="89"/>
      <c r="L71" s="89"/>
      <c r="M71" s="90"/>
      <c r="N71" s="91"/>
      <c r="O71" s="92"/>
      <c r="P71" s="93"/>
      <c r="Q71" s="94"/>
      <c r="R71" s="95"/>
      <c r="S71" s="63"/>
      <c r="T71" s="96"/>
      <c r="U71" s="97"/>
      <c r="V71" s="95"/>
      <c r="W71" s="63"/>
      <c r="X71" s="96"/>
      <c r="Y71" s="97"/>
      <c r="Z71" s="95"/>
      <c r="AA71" s="98"/>
      <c r="AB71" s="99"/>
      <c r="AC71" s="100"/>
      <c r="AD71" s="101"/>
      <c r="AE71" s="102"/>
      <c r="AF71" s="103"/>
      <c r="AG71" s="104"/>
      <c r="AH71" s="105"/>
      <c r="AI71" s="106"/>
      <c r="AJ71" s="104"/>
      <c r="AK71" s="105"/>
      <c r="AL71" s="106"/>
      <c r="AM71" s="104"/>
      <c r="AN71" s="105"/>
      <c r="AO71" s="106"/>
      <c r="AP71" s="107"/>
      <c r="AQ71" s="108"/>
      <c r="AR71" s="108"/>
      <c r="AS71" s="108"/>
    </row>
    <row r="72" spans="1:45" ht="18" customHeight="1" x14ac:dyDescent="0.45">
      <c r="A72" s="83"/>
      <c r="B72" s="46"/>
      <c r="C72" s="46"/>
      <c r="D72" s="46"/>
      <c r="E72" s="109"/>
      <c r="F72" s="46"/>
      <c r="G72" s="110"/>
      <c r="H72" s="111"/>
      <c r="I72" s="112"/>
      <c r="J72" s="113"/>
      <c r="K72" s="114"/>
      <c r="L72" s="114"/>
      <c r="M72" s="115"/>
      <c r="N72" s="116"/>
      <c r="O72" s="117"/>
      <c r="P72" s="118"/>
      <c r="Q72" s="119"/>
      <c r="R72" s="120"/>
      <c r="S72" s="68"/>
      <c r="T72" s="121"/>
      <c r="U72" s="122"/>
      <c r="V72" s="120"/>
      <c r="W72" s="68"/>
      <c r="X72" s="121"/>
      <c r="Y72" s="122"/>
      <c r="Z72" s="120"/>
      <c r="AA72" s="123"/>
      <c r="AB72" s="124"/>
      <c r="AC72" s="100"/>
      <c r="AD72" s="125"/>
      <c r="AE72" s="126"/>
      <c r="AF72" s="127"/>
      <c r="AG72" s="128"/>
      <c r="AH72" s="129"/>
      <c r="AI72" s="130"/>
      <c r="AJ72" s="128"/>
      <c r="AK72" s="129"/>
      <c r="AL72" s="130"/>
      <c r="AM72" s="128"/>
      <c r="AN72" s="129"/>
      <c r="AO72" s="130"/>
      <c r="AP72" s="107"/>
      <c r="AQ72" s="131"/>
      <c r="AR72" s="131"/>
      <c r="AS72" s="131"/>
    </row>
    <row r="73" spans="1:45" ht="18" customHeight="1" x14ac:dyDescent="0.45">
      <c r="A73" s="83"/>
      <c r="B73" s="84"/>
      <c r="C73" s="84"/>
      <c r="D73" s="84"/>
      <c r="E73" s="51"/>
      <c r="F73" s="84"/>
      <c r="G73" s="85"/>
      <c r="H73" s="86"/>
      <c r="I73" s="87"/>
      <c r="J73" s="88"/>
      <c r="K73" s="89"/>
      <c r="L73" s="89"/>
      <c r="M73" s="90"/>
      <c r="N73" s="91"/>
      <c r="O73" s="92"/>
      <c r="P73" s="93"/>
      <c r="Q73" s="94"/>
      <c r="R73" s="95"/>
      <c r="S73" s="63"/>
      <c r="T73" s="96"/>
      <c r="U73" s="97"/>
      <c r="V73" s="95"/>
      <c r="W73" s="63"/>
      <c r="X73" s="96"/>
      <c r="Y73" s="97"/>
      <c r="Z73" s="95"/>
      <c r="AA73" s="98"/>
      <c r="AB73" s="99"/>
      <c r="AC73" s="100"/>
      <c r="AD73" s="101"/>
      <c r="AE73" s="102"/>
      <c r="AF73" s="103"/>
      <c r="AG73" s="104"/>
      <c r="AH73" s="105"/>
      <c r="AI73" s="106"/>
      <c r="AJ73" s="104"/>
      <c r="AK73" s="105"/>
      <c r="AL73" s="106"/>
      <c r="AM73" s="104"/>
      <c r="AN73" s="105"/>
      <c r="AO73" s="106"/>
      <c r="AP73" s="107"/>
      <c r="AQ73" s="108"/>
      <c r="AR73" s="108"/>
      <c r="AS73" s="108"/>
    </row>
    <row r="74" spans="1:45" ht="18" customHeight="1" x14ac:dyDescent="0.45">
      <c r="A74" s="83"/>
      <c r="B74" s="46"/>
      <c r="C74" s="46"/>
      <c r="D74" s="46"/>
      <c r="E74" s="109"/>
      <c r="F74" s="46"/>
      <c r="G74" s="110"/>
      <c r="H74" s="111"/>
      <c r="I74" s="112"/>
      <c r="J74" s="113"/>
      <c r="K74" s="114"/>
      <c r="L74" s="114"/>
      <c r="M74" s="115"/>
      <c r="N74" s="116"/>
      <c r="O74" s="117"/>
      <c r="P74" s="118"/>
      <c r="Q74" s="119"/>
      <c r="R74" s="120"/>
      <c r="S74" s="68"/>
      <c r="T74" s="121"/>
      <c r="U74" s="122"/>
      <c r="V74" s="120"/>
      <c r="W74" s="68"/>
      <c r="X74" s="121"/>
      <c r="Y74" s="122"/>
      <c r="Z74" s="120"/>
      <c r="AA74" s="123"/>
      <c r="AB74" s="124"/>
      <c r="AC74" s="100"/>
      <c r="AD74" s="125"/>
      <c r="AE74" s="126"/>
      <c r="AF74" s="127"/>
      <c r="AG74" s="128"/>
      <c r="AH74" s="129"/>
      <c r="AI74" s="130"/>
      <c r="AJ74" s="128"/>
      <c r="AK74" s="129"/>
      <c r="AL74" s="130"/>
      <c r="AM74" s="128"/>
      <c r="AN74" s="129"/>
      <c r="AO74" s="130"/>
      <c r="AP74" s="107"/>
      <c r="AQ74" s="131"/>
      <c r="AR74" s="131"/>
      <c r="AS74" s="131"/>
    </row>
    <row r="75" spans="1:45" ht="18" customHeight="1" x14ac:dyDescent="0.45">
      <c r="A75" s="83"/>
      <c r="B75" s="84"/>
      <c r="C75" s="84"/>
      <c r="D75" s="84"/>
      <c r="E75" s="51"/>
      <c r="F75" s="84"/>
      <c r="G75" s="85"/>
      <c r="H75" s="86"/>
      <c r="I75" s="87"/>
      <c r="J75" s="88"/>
      <c r="K75" s="89"/>
      <c r="L75" s="89"/>
      <c r="M75" s="90"/>
      <c r="N75" s="91"/>
      <c r="O75" s="92"/>
      <c r="P75" s="93"/>
      <c r="Q75" s="94"/>
      <c r="R75" s="95"/>
      <c r="S75" s="63"/>
      <c r="T75" s="96"/>
      <c r="U75" s="97"/>
      <c r="V75" s="95"/>
      <c r="W75" s="63"/>
      <c r="X75" s="96"/>
      <c r="Y75" s="97"/>
      <c r="Z75" s="95"/>
      <c r="AA75" s="98"/>
      <c r="AB75" s="99"/>
      <c r="AC75" s="100"/>
      <c r="AD75" s="101"/>
      <c r="AE75" s="102"/>
      <c r="AF75" s="103"/>
      <c r="AG75" s="104"/>
      <c r="AH75" s="105"/>
      <c r="AI75" s="106"/>
      <c r="AJ75" s="104"/>
      <c r="AK75" s="105"/>
      <c r="AL75" s="106"/>
      <c r="AM75" s="104"/>
      <c r="AN75" s="105"/>
      <c r="AO75" s="106"/>
      <c r="AP75" s="107"/>
      <c r="AQ75" s="108"/>
      <c r="AR75" s="108"/>
      <c r="AS75" s="108"/>
    </row>
    <row r="76" spans="1:45" ht="18" customHeight="1" x14ac:dyDescent="0.45">
      <c r="A76" s="83"/>
      <c r="B76" s="46"/>
      <c r="C76" s="46"/>
      <c r="D76" s="46"/>
      <c r="E76" s="109"/>
      <c r="F76" s="46"/>
      <c r="G76" s="110"/>
      <c r="H76" s="111"/>
      <c r="I76" s="112"/>
      <c r="J76" s="113"/>
      <c r="K76" s="114"/>
      <c r="L76" s="114"/>
      <c r="M76" s="115"/>
      <c r="N76" s="116"/>
      <c r="O76" s="117"/>
      <c r="P76" s="118"/>
      <c r="Q76" s="119"/>
      <c r="R76" s="120"/>
      <c r="S76" s="68"/>
      <c r="T76" s="121"/>
      <c r="U76" s="122"/>
      <c r="V76" s="120"/>
      <c r="W76" s="68"/>
      <c r="X76" s="121"/>
      <c r="Y76" s="122"/>
      <c r="Z76" s="120"/>
      <c r="AA76" s="123"/>
      <c r="AB76" s="124"/>
      <c r="AC76" s="100"/>
      <c r="AD76" s="125"/>
      <c r="AE76" s="126"/>
      <c r="AF76" s="127"/>
      <c r="AG76" s="128"/>
      <c r="AH76" s="129"/>
      <c r="AI76" s="130"/>
      <c r="AJ76" s="128"/>
      <c r="AK76" s="129"/>
      <c r="AL76" s="130"/>
      <c r="AM76" s="128"/>
      <c r="AN76" s="129"/>
      <c r="AO76" s="130"/>
      <c r="AP76" s="107"/>
      <c r="AQ76" s="131"/>
      <c r="AR76" s="131"/>
      <c r="AS76" s="131"/>
    </row>
    <row r="77" spans="1:45" ht="18" customHeight="1" x14ac:dyDescent="0.45">
      <c r="A77" s="83"/>
      <c r="B77" s="84"/>
      <c r="C77" s="84"/>
      <c r="D77" s="84"/>
      <c r="E77" s="51"/>
      <c r="F77" s="84"/>
      <c r="G77" s="85"/>
      <c r="H77" s="86"/>
      <c r="I77" s="87"/>
      <c r="J77" s="88"/>
      <c r="K77" s="89"/>
      <c r="L77" s="89"/>
      <c r="M77" s="90"/>
      <c r="N77" s="91"/>
      <c r="O77" s="92"/>
      <c r="P77" s="93"/>
      <c r="Q77" s="94"/>
      <c r="R77" s="95"/>
      <c r="S77" s="63"/>
      <c r="T77" s="96"/>
      <c r="U77" s="97"/>
      <c r="V77" s="95"/>
      <c r="W77" s="63"/>
      <c r="X77" s="96"/>
      <c r="Y77" s="97"/>
      <c r="Z77" s="95"/>
      <c r="AA77" s="98"/>
      <c r="AB77" s="99"/>
      <c r="AC77" s="100"/>
      <c r="AD77" s="101"/>
      <c r="AE77" s="102"/>
      <c r="AF77" s="103"/>
      <c r="AG77" s="104"/>
      <c r="AH77" s="105"/>
      <c r="AI77" s="106"/>
      <c r="AJ77" s="104"/>
      <c r="AK77" s="105"/>
      <c r="AL77" s="106"/>
      <c r="AM77" s="104"/>
      <c r="AN77" s="105"/>
      <c r="AO77" s="106"/>
      <c r="AP77" s="107"/>
      <c r="AQ77" s="108"/>
      <c r="AR77" s="108"/>
      <c r="AS77" s="108"/>
    </row>
    <row r="78" spans="1:45" ht="18" customHeight="1" x14ac:dyDescent="0.45">
      <c r="A78" s="83"/>
      <c r="B78" s="46"/>
      <c r="C78" s="46"/>
      <c r="D78" s="46"/>
      <c r="E78" s="109"/>
      <c r="F78" s="46"/>
      <c r="G78" s="110"/>
      <c r="H78" s="111"/>
      <c r="I78" s="112"/>
      <c r="J78" s="113"/>
      <c r="K78" s="114"/>
      <c r="L78" s="114"/>
      <c r="M78" s="115"/>
      <c r="N78" s="116"/>
      <c r="O78" s="117"/>
      <c r="P78" s="118"/>
      <c r="Q78" s="119"/>
      <c r="R78" s="120"/>
      <c r="S78" s="68"/>
      <c r="T78" s="121"/>
      <c r="U78" s="122"/>
      <c r="V78" s="120"/>
      <c r="W78" s="68"/>
      <c r="X78" s="121"/>
      <c r="Y78" s="122"/>
      <c r="Z78" s="120"/>
      <c r="AA78" s="123"/>
      <c r="AB78" s="124"/>
      <c r="AC78" s="100"/>
      <c r="AD78" s="125"/>
      <c r="AE78" s="126"/>
      <c r="AF78" s="127"/>
      <c r="AG78" s="128"/>
      <c r="AH78" s="129"/>
      <c r="AI78" s="130"/>
      <c r="AJ78" s="128"/>
      <c r="AK78" s="129"/>
      <c r="AL78" s="130"/>
      <c r="AM78" s="128"/>
      <c r="AN78" s="129"/>
      <c r="AO78" s="130"/>
      <c r="AP78" s="107"/>
      <c r="AQ78" s="131"/>
      <c r="AR78" s="131"/>
      <c r="AS78" s="131"/>
    </row>
    <row r="79" spans="1:45" ht="18" customHeight="1" x14ac:dyDescent="0.45">
      <c r="A79" s="83"/>
      <c r="B79" s="84"/>
      <c r="C79" s="84"/>
      <c r="D79" s="84"/>
      <c r="E79" s="51"/>
      <c r="F79" s="84"/>
      <c r="G79" s="85"/>
      <c r="H79" s="86"/>
      <c r="I79" s="87"/>
      <c r="J79" s="88"/>
      <c r="K79" s="89"/>
      <c r="L79" s="89"/>
      <c r="M79" s="90"/>
      <c r="N79" s="91"/>
      <c r="O79" s="92"/>
      <c r="P79" s="93"/>
      <c r="Q79" s="94"/>
      <c r="R79" s="95"/>
      <c r="S79" s="63"/>
      <c r="T79" s="96"/>
      <c r="U79" s="97"/>
      <c r="V79" s="95"/>
      <c r="W79" s="63"/>
      <c r="X79" s="96"/>
      <c r="Y79" s="97"/>
      <c r="Z79" s="95"/>
      <c r="AA79" s="98"/>
      <c r="AB79" s="99"/>
      <c r="AC79" s="100"/>
      <c r="AD79" s="101"/>
      <c r="AE79" s="102"/>
      <c r="AF79" s="103"/>
      <c r="AG79" s="104"/>
      <c r="AH79" s="105"/>
      <c r="AI79" s="106"/>
      <c r="AJ79" s="104"/>
      <c r="AK79" s="105"/>
      <c r="AL79" s="106"/>
      <c r="AM79" s="104"/>
      <c r="AN79" s="105"/>
      <c r="AO79" s="106"/>
      <c r="AP79" s="107"/>
      <c r="AQ79" s="108"/>
      <c r="AR79" s="108"/>
      <c r="AS79" s="108"/>
    </row>
    <row r="80" spans="1:45" ht="18" customHeight="1" x14ac:dyDescent="0.45">
      <c r="A80" s="83"/>
      <c r="B80" s="46"/>
      <c r="C80" s="46"/>
      <c r="D80" s="46"/>
      <c r="E80" s="109"/>
      <c r="F80" s="46"/>
      <c r="G80" s="110"/>
      <c r="H80" s="111"/>
      <c r="I80" s="112"/>
      <c r="J80" s="113"/>
      <c r="K80" s="114"/>
      <c r="L80" s="114"/>
      <c r="M80" s="115"/>
      <c r="N80" s="116"/>
      <c r="O80" s="117"/>
      <c r="P80" s="118"/>
      <c r="Q80" s="119"/>
      <c r="R80" s="120"/>
      <c r="S80" s="68"/>
      <c r="T80" s="121"/>
      <c r="U80" s="122"/>
      <c r="V80" s="120"/>
      <c r="W80" s="68"/>
      <c r="X80" s="121"/>
      <c r="Y80" s="122"/>
      <c r="Z80" s="120"/>
      <c r="AA80" s="123"/>
      <c r="AB80" s="124"/>
      <c r="AC80" s="100"/>
      <c r="AD80" s="125"/>
      <c r="AE80" s="126"/>
      <c r="AF80" s="127"/>
      <c r="AG80" s="128"/>
      <c r="AH80" s="129"/>
      <c r="AI80" s="130"/>
      <c r="AJ80" s="128"/>
      <c r="AK80" s="129"/>
      <c r="AL80" s="130"/>
      <c r="AM80" s="128"/>
      <c r="AN80" s="129"/>
      <c r="AO80" s="130"/>
      <c r="AP80" s="107"/>
      <c r="AQ80" s="131"/>
      <c r="AR80" s="131"/>
      <c r="AS80" s="131"/>
    </row>
    <row r="81" spans="1:45" ht="18" customHeight="1" x14ac:dyDescent="0.45">
      <c r="A81" s="83"/>
      <c r="B81" s="84"/>
      <c r="C81" s="84"/>
      <c r="D81" s="84"/>
      <c r="E81" s="51"/>
      <c r="F81" s="84"/>
      <c r="G81" s="85"/>
      <c r="H81" s="86"/>
      <c r="I81" s="87"/>
      <c r="J81" s="88"/>
      <c r="K81" s="89"/>
      <c r="L81" s="89"/>
      <c r="M81" s="90"/>
      <c r="N81" s="91"/>
      <c r="O81" s="92"/>
      <c r="P81" s="93"/>
      <c r="Q81" s="94"/>
      <c r="R81" s="95"/>
      <c r="S81" s="63"/>
      <c r="T81" s="96"/>
      <c r="U81" s="97"/>
      <c r="V81" s="95"/>
      <c r="W81" s="63"/>
      <c r="X81" s="96"/>
      <c r="Y81" s="97"/>
      <c r="Z81" s="95"/>
      <c r="AA81" s="98"/>
      <c r="AB81" s="99"/>
      <c r="AC81" s="100"/>
      <c r="AD81" s="101"/>
      <c r="AE81" s="102"/>
      <c r="AF81" s="103"/>
      <c r="AG81" s="104"/>
      <c r="AH81" s="105"/>
      <c r="AI81" s="106"/>
      <c r="AJ81" s="104"/>
      <c r="AK81" s="105"/>
      <c r="AL81" s="106"/>
      <c r="AM81" s="104"/>
      <c r="AN81" s="105"/>
      <c r="AO81" s="106"/>
      <c r="AP81" s="107"/>
      <c r="AQ81" s="108"/>
      <c r="AR81" s="108"/>
      <c r="AS81" s="108"/>
    </row>
    <row r="82" spans="1:45" ht="18" customHeight="1" x14ac:dyDescent="0.45">
      <c r="A82" s="83"/>
      <c r="B82" s="46"/>
      <c r="C82" s="46"/>
      <c r="D82" s="46"/>
      <c r="E82" s="109"/>
      <c r="F82" s="46"/>
      <c r="G82" s="110"/>
      <c r="H82" s="111"/>
      <c r="I82" s="112"/>
      <c r="J82" s="113"/>
      <c r="K82" s="114"/>
      <c r="L82" s="114"/>
      <c r="M82" s="115"/>
      <c r="N82" s="116"/>
      <c r="O82" s="117"/>
      <c r="P82" s="118"/>
      <c r="Q82" s="119"/>
      <c r="R82" s="120"/>
      <c r="S82" s="68"/>
      <c r="T82" s="121"/>
      <c r="U82" s="122"/>
      <c r="V82" s="120"/>
      <c r="W82" s="68"/>
      <c r="X82" s="121"/>
      <c r="Y82" s="122"/>
      <c r="Z82" s="120"/>
      <c r="AA82" s="123"/>
      <c r="AB82" s="124"/>
      <c r="AC82" s="100"/>
      <c r="AD82" s="125"/>
      <c r="AE82" s="126"/>
      <c r="AF82" s="127"/>
      <c r="AG82" s="128"/>
      <c r="AH82" s="129"/>
      <c r="AI82" s="130"/>
      <c r="AJ82" s="128"/>
      <c r="AK82" s="129"/>
      <c r="AL82" s="130"/>
      <c r="AM82" s="128"/>
      <c r="AN82" s="129"/>
      <c r="AO82" s="130"/>
      <c r="AP82" s="107"/>
      <c r="AQ82" s="131"/>
      <c r="AR82" s="131"/>
      <c r="AS82" s="131"/>
    </row>
    <row r="83" spans="1:45" ht="18" customHeight="1" x14ac:dyDescent="0.45">
      <c r="A83" s="83"/>
      <c r="B83" s="84"/>
      <c r="C83" s="84"/>
      <c r="D83" s="84"/>
      <c r="E83" s="51"/>
      <c r="F83" s="84"/>
      <c r="G83" s="85"/>
      <c r="H83" s="86"/>
      <c r="I83" s="87"/>
      <c r="J83" s="88"/>
      <c r="K83" s="89"/>
      <c r="L83" s="89"/>
      <c r="M83" s="90"/>
      <c r="N83" s="91"/>
      <c r="O83" s="92"/>
      <c r="P83" s="93"/>
      <c r="Q83" s="94"/>
      <c r="R83" s="95"/>
      <c r="S83" s="63"/>
      <c r="T83" s="96"/>
      <c r="U83" s="97"/>
      <c r="V83" s="95"/>
      <c r="W83" s="63"/>
      <c r="X83" s="96"/>
      <c r="Y83" s="97"/>
      <c r="Z83" s="95"/>
      <c r="AA83" s="98"/>
      <c r="AB83" s="99"/>
      <c r="AC83" s="100"/>
      <c r="AD83" s="101"/>
      <c r="AE83" s="102"/>
      <c r="AF83" s="103"/>
      <c r="AG83" s="104"/>
      <c r="AH83" s="105"/>
      <c r="AI83" s="106"/>
      <c r="AJ83" s="104"/>
      <c r="AK83" s="105"/>
      <c r="AL83" s="106"/>
      <c r="AM83" s="104"/>
      <c r="AN83" s="105"/>
      <c r="AO83" s="106"/>
      <c r="AP83" s="107"/>
      <c r="AQ83" s="108"/>
      <c r="AR83" s="108"/>
      <c r="AS83" s="108"/>
    </row>
    <row r="84" spans="1:45" ht="18" customHeight="1" x14ac:dyDescent="0.45">
      <c r="A84" s="83"/>
      <c r="B84" s="46"/>
      <c r="C84" s="46"/>
      <c r="D84" s="46"/>
      <c r="E84" s="109"/>
      <c r="F84" s="46"/>
      <c r="G84" s="110"/>
      <c r="H84" s="111"/>
      <c r="I84" s="112"/>
      <c r="J84" s="113"/>
      <c r="K84" s="114"/>
      <c r="L84" s="114"/>
      <c r="M84" s="115"/>
      <c r="N84" s="116"/>
      <c r="O84" s="117"/>
      <c r="P84" s="118"/>
      <c r="Q84" s="119"/>
      <c r="R84" s="120"/>
      <c r="S84" s="68"/>
      <c r="T84" s="121"/>
      <c r="U84" s="122"/>
      <c r="V84" s="120"/>
      <c r="W84" s="68"/>
      <c r="X84" s="121"/>
      <c r="Y84" s="122"/>
      <c r="Z84" s="120"/>
      <c r="AA84" s="123"/>
      <c r="AB84" s="124"/>
      <c r="AC84" s="100"/>
      <c r="AD84" s="125"/>
      <c r="AE84" s="126"/>
      <c r="AF84" s="127"/>
      <c r="AG84" s="128"/>
      <c r="AH84" s="129"/>
      <c r="AI84" s="130"/>
      <c r="AJ84" s="128"/>
      <c r="AK84" s="129"/>
      <c r="AL84" s="130"/>
      <c r="AM84" s="128"/>
      <c r="AN84" s="129"/>
      <c r="AO84" s="130"/>
      <c r="AP84" s="107"/>
      <c r="AQ84" s="131"/>
      <c r="AR84" s="131"/>
      <c r="AS84" s="131"/>
    </row>
    <row r="85" spans="1:45" ht="18" customHeight="1" x14ac:dyDescent="0.45">
      <c r="A85" s="83"/>
      <c r="B85" s="84"/>
      <c r="C85" s="84"/>
      <c r="D85" s="84"/>
      <c r="E85" s="51"/>
      <c r="F85" s="84"/>
      <c r="G85" s="85"/>
      <c r="H85" s="86"/>
      <c r="I85" s="87"/>
      <c r="J85" s="88"/>
      <c r="K85" s="89"/>
      <c r="L85" s="89"/>
      <c r="M85" s="90"/>
      <c r="N85" s="91"/>
      <c r="O85" s="92"/>
      <c r="P85" s="93"/>
      <c r="Q85" s="94"/>
      <c r="R85" s="95"/>
      <c r="S85" s="63"/>
      <c r="T85" s="96"/>
      <c r="U85" s="97"/>
      <c r="V85" s="95"/>
      <c r="W85" s="63"/>
      <c r="X85" s="96"/>
      <c r="Y85" s="97"/>
      <c r="Z85" s="95"/>
      <c r="AA85" s="98"/>
      <c r="AB85" s="99"/>
      <c r="AC85" s="100"/>
      <c r="AD85" s="101"/>
      <c r="AE85" s="102"/>
      <c r="AF85" s="103"/>
      <c r="AG85" s="104"/>
      <c r="AH85" s="105"/>
      <c r="AI85" s="106"/>
      <c r="AJ85" s="104"/>
      <c r="AK85" s="105"/>
      <c r="AL85" s="106"/>
      <c r="AM85" s="104"/>
      <c r="AN85" s="105"/>
      <c r="AO85" s="106"/>
      <c r="AP85" s="107"/>
      <c r="AQ85" s="108"/>
      <c r="AR85" s="108"/>
      <c r="AS85" s="108"/>
    </row>
    <row r="86" spans="1:45" ht="18" customHeight="1" x14ac:dyDescent="0.45">
      <c r="A86" s="83"/>
      <c r="B86" s="46"/>
      <c r="C86" s="46"/>
      <c r="D86" s="46"/>
      <c r="E86" s="109"/>
      <c r="F86" s="46"/>
      <c r="G86" s="110"/>
      <c r="H86" s="111"/>
      <c r="I86" s="112"/>
      <c r="J86" s="113"/>
      <c r="K86" s="114"/>
      <c r="L86" s="114"/>
      <c r="M86" s="115"/>
      <c r="N86" s="116"/>
      <c r="O86" s="117"/>
      <c r="P86" s="118"/>
      <c r="Q86" s="119"/>
      <c r="R86" s="120"/>
      <c r="S86" s="68"/>
      <c r="T86" s="121"/>
      <c r="U86" s="122"/>
      <c r="V86" s="120"/>
      <c r="W86" s="68"/>
      <c r="X86" s="121"/>
      <c r="Y86" s="122"/>
      <c r="Z86" s="120"/>
      <c r="AA86" s="123"/>
      <c r="AB86" s="124"/>
      <c r="AC86" s="100"/>
      <c r="AD86" s="125"/>
      <c r="AE86" s="126"/>
      <c r="AF86" s="127"/>
      <c r="AG86" s="128"/>
      <c r="AH86" s="129"/>
      <c r="AI86" s="130"/>
      <c r="AJ86" s="128"/>
      <c r="AK86" s="129"/>
      <c r="AL86" s="130"/>
      <c r="AM86" s="128"/>
      <c r="AN86" s="129"/>
      <c r="AO86" s="130"/>
      <c r="AP86" s="107"/>
      <c r="AQ86" s="131"/>
      <c r="AR86" s="131"/>
      <c r="AS86" s="131"/>
    </row>
    <row r="87" spans="1:45" ht="18" customHeight="1" x14ac:dyDescent="0.45">
      <c r="A87" s="83"/>
      <c r="B87" s="84"/>
      <c r="C87" s="84"/>
      <c r="D87" s="84"/>
      <c r="E87" s="51"/>
      <c r="F87" s="84"/>
      <c r="G87" s="85"/>
      <c r="H87" s="86"/>
      <c r="I87" s="87"/>
      <c r="J87" s="88"/>
      <c r="K87" s="89"/>
      <c r="L87" s="89"/>
      <c r="M87" s="90"/>
      <c r="N87" s="91"/>
      <c r="O87" s="92"/>
      <c r="P87" s="93"/>
      <c r="Q87" s="94"/>
      <c r="R87" s="95"/>
      <c r="S87" s="63"/>
      <c r="T87" s="96"/>
      <c r="U87" s="97"/>
      <c r="V87" s="95"/>
      <c r="W87" s="63"/>
      <c r="X87" s="96"/>
      <c r="Y87" s="97"/>
      <c r="Z87" s="95"/>
      <c r="AA87" s="98"/>
      <c r="AB87" s="99"/>
      <c r="AC87" s="100"/>
      <c r="AD87" s="101"/>
      <c r="AE87" s="102"/>
      <c r="AF87" s="103"/>
      <c r="AG87" s="104"/>
      <c r="AH87" s="105"/>
      <c r="AI87" s="106"/>
      <c r="AJ87" s="104"/>
      <c r="AK87" s="105"/>
      <c r="AL87" s="106"/>
      <c r="AM87" s="104"/>
      <c r="AN87" s="105"/>
      <c r="AO87" s="106"/>
      <c r="AP87" s="107"/>
      <c r="AQ87" s="108"/>
      <c r="AR87" s="108"/>
      <c r="AS87" s="108"/>
    </row>
    <row r="88" spans="1:45" ht="18" customHeight="1" x14ac:dyDescent="0.45">
      <c r="A88" s="83"/>
      <c r="B88" s="84"/>
      <c r="C88" s="46"/>
      <c r="D88" s="46"/>
      <c r="E88" s="109"/>
      <c r="F88" s="46"/>
      <c r="G88" s="110"/>
      <c r="H88" s="111"/>
      <c r="I88" s="112"/>
      <c r="J88" s="113"/>
      <c r="K88" s="114"/>
      <c r="L88" s="114"/>
      <c r="M88" s="115"/>
      <c r="N88" s="116"/>
      <c r="O88" s="117"/>
      <c r="P88" s="118"/>
      <c r="Q88" s="119"/>
      <c r="R88" s="120"/>
      <c r="S88" s="68"/>
      <c r="T88" s="121"/>
      <c r="U88" s="122"/>
      <c r="V88" s="120"/>
      <c r="W88" s="68"/>
      <c r="X88" s="121"/>
      <c r="Y88" s="122"/>
      <c r="Z88" s="120"/>
      <c r="AA88" s="123"/>
      <c r="AB88" s="124"/>
      <c r="AC88" s="100"/>
      <c r="AD88" s="125"/>
      <c r="AE88" s="126"/>
      <c r="AF88" s="127"/>
      <c r="AG88" s="128"/>
      <c r="AH88" s="129"/>
      <c r="AI88" s="130"/>
      <c r="AJ88" s="128"/>
      <c r="AK88" s="129"/>
      <c r="AL88" s="130"/>
      <c r="AM88" s="128"/>
      <c r="AN88" s="129"/>
      <c r="AO88" s="130"/>
      <c r="AP88" s="107"/>
      <c r="AQ88" s="131"/>
      <c r="AR88" s="131"/>
      <c r="AS88" s="131"/>
    </row>
    <row r="89" spans="1:45" ht="18" customHeight="1" x14ac:dyDescent="0.45">
      <c r="A89" s="83"/>
      <c r="B89" s="84"/>
      <c r="C89" s="84"/>
      <c r="D89" s="84"/>
      <c r="E89" s="51"/>
      <c r="F89" s="84"/>
      <c r="G89" s="85"/>
      <c r="H89" s="86"/>
      <c r="I89" s="87"/>
      <c r="J89" s="88"/>
      <c r="K89" s="89"/>
      <c r="L89" s="89"/>
      <c r="M89" s="90"/>
      <c r="N89" s="91"/>
      <c r="O89" s="92"/>
      <c r="P89" s="93"/>
      <c r="Q89" s="94"/>
      <c r="R89" s="95"/>
      <c r="S89" s="63"/>
      <c r="T89" s="96"/>
      <c r="U89" s="97"/>
      <c r="V89" s="95"/>
      <c r="W89" s="63"/>
      <c r="X89" s="96"/>
      <c r="Y89" s="97"/>
      <c r="Z89" s="95"/>
      <c r="AA89" s="98"/>
      <c r="AB89" s="99"/>
      <c r="AC89" s="100"/>
      <c r="AD89" s="101"/>
      <c r="AE89" s="102"/>
      <c r="AF89" s="103"/>
      <c r="AG89" s="104"/>
      <c r="AH89" s="105"/>
      <c r="AI89" s="106"/>
      <c r="AJ89" s="104"/>
      <c r="AK89" s="105"/>
      <c r="AL89" s="106"/>
      <c r="AM89" s="104"/>
      <c r="AN89" s="105"/>
      <c r="AO89" s="106"/>
      <c r="AP89" s="107"/>
      <c r="AQ89" s="108"/>
      <c r="AR89" s="108"/>
      <c r="AS89" s="108"/>
    </row>
    <row r="90" spans="1:45" ht="18" customHeight="1" x14ac:dyDescent="0.45">
      <c r="A90" s="83"/>
      <c r="B90" s="46"/>
      <c r="C90" s="46"/>
      <c r="D90" s="46"/>
      <c r="E90" s="109"/>
      <c r="F90" s="46"/>
      <c r="G90" s="110"/>
      <c r="H90" s="111"/>
      <c r="I90" s="112"/>
      <c r="J90" s="113"/>
      <c r="K90" s="114"/>
      <c r="L90" s="114"/>
      <c r="M90" s="115"/>
      <c r="N90" s="116"/>
      <c r="O90" s="117"/>
      <c r="P90" s="118"/>
      <c r="Q90" s="119"/>
      <c r="R90" s="120"/>
      <c r="S90" s="68"/>
      <c r="T90" s="121"/>
      <c r="U90" s="122"/>
      <c r="V90" s="120"/>
      <c r="W90" s="68"/>
      <c r="X90" s="121"/>
      <c r="Y90" s="122"/>
      <c r="Z90" s="120"/>
      <c r="AA90" s="123"/>
      <c r="AB90" s="124"/>
      <c r="AC90" s="100"/>
      <c r="AD90" s="125"/>
      <c r="AE90" s="126"/>
      <c r="AF90" s="127"/>
      <c r="AG90" s="128"/>
      <c r="AH90" s="129"/>
      <c r="AI90" s="130"/>
      <c r="AJ90" s="128"/>
      <c r="AK90" s="129"/>
      <c r="AL90" s="130"/>
      <c r="AM90" s="128"/>
      <c r="AN90" s="129"/>
      <c r="AO90" s="130"/>
      <c r="AP90" s="107"/>
      <c r="AQ90" s="131"/>
      <c r="AR90" s="131"/>
      <c r="AS90" s="131"/>
    </row>
    <row r="91" spans="1:45" ht="18" customHeight="1" x14ac:dyDescent="0.45">
      <c r="A91" s="83"/>
      <c r="B91" s="84"/>
      <c r="C91" s="84"/>
      <c r="D91" s="84"/>
      <c r="E91" s="51"/>
      <c r="F91" s="84"/>
      <c r="G91" s="85"/>
      <c r="H91" s="86"/>
      <c r="I91" s="87"/>
      <c r="J91" s="88"/>
      <c r="K91" s="89"/>
      <c r="L91" s="89"/>
      <c r="M91" s="90"/>
      <c r="N91" s="91"/>
      <c r="O91" s="92"/>
      <c r="P91" s="93"/>
      <c r="Q91" s="94"/>
      <c r="R91" s="95"/>
      <c r="S91" s="63"/>
      <c r="T91" s="96"/>
      <c r="U91" s="97"/>
      <c r="V91" s="95"/>
      <c r="W91" s="63"/>
      <c r="X91" s="96"/>
      <c r="Y91" s="97"/>
      <c r="Z91" s="95"/>
      <c r="AA91" s="98"/>
      <c r="AB91" s="99"/>
      <c r="AC91" s="100"/>
      <c r="AD91" s="101"/>
      <c r="AE91" s="102"/>
      <c r="AF91" s="103"/>
      <c r="AG91" s="104"/>
      <c r="AH91" s="105"/>
      <c r="AI91" s="106"/>
      <c r="AJ91" s="104"/>
      <c r="AK91" s="105"/>
      <c r="AL91" s="106"/>
      <c r="AM91" s="104"/>
      <c r="AN91" s="105"/>
      <c r="AO91" s="106"/>
      <c r="AP91" s="107"/>
      <c r="AQ91" s="108"/>
      <c r="AR91" s="108"/>
      <c r="AS91" s="108"/>
    </row>
    <row r="92" spans="1:45" ht="18" customHeight="1" x14ac:dyDescent="0.45">
      <c r="A92" s="83"/>
      <c r="B92" s="46"/>
      <c r="C92" s="46"/>
      <c r="D92" s="46"/>
      <c r="E92" s="109"/>
      <c r="F92" s="46"/>
      <c r="G92" s="110"/>
      <c r="H92" s="111"/>
      <c r="I92" s="112"/>
      <c r="J92" s="113"/>
      <c r="K92" s="114"/>
      <c r="L92" s="114"/>
      <c r="M92" s="115"/>
      <c r="N92" s="116"/>
      <c r="O92" s="117"/>
      <c r="P92" s="118"/>
      <c r="Q92" s="119"/>
      <c r="R92" s="120"/>
      <c r="S92" s="68"/>
      <c r="T92" s="121"/>
      <c r="U92" s="122"/>
      <c r="V92" s="120"/>
      <c r="W92" s="68"/>
      <c r="X92" s="121"/>
      <c r="Y92" s="122"/>
      <c r="Z92" s="120"/>
      <c r="AA92" s="123"/>
      <c r="AB92" s="124"/>
      <c r="AC92" s="132"/>
      <c r="AD92" s="125"/>
      <c r="AE92" s="126"/>
      <c r="AF92" s="127"/>
      <c r="AG92" s="128"/>
      <c r="AH92" s="129"/>
      <c r="AI92" s="130"/>
      <c r="AJ92" s="128"/>
      <c r="AK92" s="129"/>
      <c r="AL92" s="130"/>
      <c r="AM92" s="128"/>
      <c r="AN92" s="129"/>
      <c r="AO92" s="130"/>
      <c r="AP92" s="107"/>
      <c r="AQ92" s="131"/>
      <c r="AR92" s="131"/>
      <c r="AS92" s="131"/>
    </row>
    <row r="93" spans="1:45" ht="18" customHeight="1" x14ac:dyDescent="0.45">
      <c r="A93" s="83"/>
      <c r="B93" s="84"/>
      <c r="C93" s="84"/>
      <c r="D93" s="84"/>
      <c r="E93" s="51"/>
      <c r="F93" s="84"/>
      <c r="G93" s="85"/>
      <c r="H93" s="86"/>
      <c r="I93" s="87"/>
      <c r="J93" s="88"/>
      <c r="K93" s="89"/>
      <c r="L93" s="89"/>
      <c r="M93" s="90"/>
      <c r="N93" s="91"/>
      <c r="O93" s="92"/>
      <c r="P93" s="93"/>
      <c r="Q93" s="94"/>
      <c r="R93" s="95"/>
      <c r="S93" s="63"/>
      <c r="T93" s="96"/>
      <c r="U93" s="97"/>
      <c r="V93" s="95"/>
      <c r="W93" s="63"/>
      <c r="X93" s="96"/>
      <c r="Y93" s="97"/>
      <c r="Z93" s="95"/>
      <c r="AA93" s="98"/>
      <c r="AB93" s="99"/>
      <c r="AC93" s="132"/>
      <c r="AD93" s="101"/>
      <c r="AE93" s="102"/>
      <c r="AF93" s="103"/>
      <c r="AG93" s="104"/>
      <c r="AH93" s="105"/>
      <c r="AI93" s="106"/>
      <c r="AJ93" s="104"/>
      <c r="AK93" s="105"/>
      <c r="AL93" s="106"/>
      <c r="AM93" s="104"/>
      <c r="AN93" s="105"/>
      <c r="AO93" s="106"/>
      <c r="AP93" s="107"/>
      <c r="AQ93" s="108"/>
      <c r="AR93" s="108"/>
      <c r="AS93" s="108"/>
    </row>
    <row r="94" spans="1:45" ht="18" customHeight="1" x14ac:dyDescent="0.45">
      <c r="A94" s="83"/>
      <c r="B94" s="46"/>
      <c r="C94" s="46"/>
      <c r="D94" s="46"/>
      <c r="E94" s="109"/>
      <c r="F94" s="46"/>
      <c r="G94" s="110"/>
      <c r="H94" s="111"/>
      <c r="I94" s="112"/>
      <c r="J94" s="113"/>
      <c r="K94" s="114"/>
      <c r="L94" s="114"/>
      <c r="M94" s="115"/>
      <c r="N94" s="116"/>
      <c r="O94" s="117"/>
      <c r="P94" s="118"/>
      <c r="Q94" s="119"/>
      <c r="R94" s="120"/>
      <c r="S94" s="68"/>
      <c r="T94" s="121"/>
      <c r="U94" s="122"/>
      <c r="V94" s="120"/>
      <c r="W94" s="68"/>
      <c r="X94" s="121"/>
      <c r="Y94" s="122"/>
      <c r="Z94" s="120"/>
      <c r="AA94" s="123"/>
      <c r="AB94" s="124"/>
      <c r="AC94" s="132"/>
      <c r="AD94" s="125"/>
      <c r="AE94" s="126"/>
      <c r="AF94" s="127"/>
      <c r="AG94" s="128"/>
      <c r="AH94" s="129"/>
      <c r="AI94" s="130"/>
      <c r="AJ94" s="128"/>
      <c r="AK94" s="129"/>
      <c r="AL94" s="130"/>
      <c r="AM94" s="128"/>
      <c r="AN94" s="129"/>
      <c r="AO94" s="130"/>
      <c r="AP94" s="107"/>
      <c r="AQ94" s="131"/>
      <c r="AR94" s="131"/>
      <c r="AS94" s="131"/>
    </row>
    <row r="95" spans="1:45" ht="18" customHeight="1" x14ac:dyDescent="0.45">
      <c r="A95" s="83"/>
      <c r="B95" s="84"/>
      <c r="C95" s="84"/>
      <c r="D95" s="84"/>
      <c r="E95" s="51"/>
      <c r="F95" s="84"/>
      <c r="G95" s="85"/>
      <c r="H95" s="86"/>
      <c r="I95" s="87"/>
      <c r="J95" s="88"/>
      <c r="K95" s="89"/>
      <c r="L95" s="89"/>
      <c r="M95" s="90"/>
      <c r="N95" s="91"/>
      <c r="O95" s="92"/>
      <c r="P95" s="93"/>
      <c r="Q95" s="94"/>
      <c r="R95" s="95"/>
      <c r="S95" s="63"/>
      <c r="T95" s="96"/>
      <c r="U95" s="97"/>
      <c r="V95" s="95"/>
      <c r="W95" s="63"/>
      <c r="X95" s="96"/>
      <c r="Y95" s="97"/>
      <c r="Z95" s="95"/>
      <c r="AA95" s="98"/>
      <c r="AB95" s="99"/>
      <c r="AC95" s="132"/>
      <c r="AD95" s="101"/>
      <c r="AE95" s="102"/>
      <c r="AF95" s="103"/>
      <c r="AG95" s="104"/>
      <c r="AH95" s="105"/>
      <c r="AI95" s="106"/>
      <c r="AJ95" s="104"/>
      <c r="AK95" s="105"/>
      <c r="AL95" s="106"/>
      <c r="AM95" s="104"/>
      <c r="AN95" s="105"/>
      <c r="AO95" s="106"/>
      <c r="AP95" s="107"/>
      <c r="AQ95" s="108"/>
      <c r="AR95" s="108"/>
      <c r="AS95" s="108"/>
    </row>
    <row r="96" spans="1:45" ht="18" customHeight="1" x14ac:dyDescent="0.45">
      <c r="A96" s="83"/>
      <c r="B96" s="46"/>
      <c r="C96" s="46"/>
      <c r="D96" s="46"/>
      <c r="E96" s="109"/>
      <c r="F96" s="46"/>
      <c r="G96" s="110"/>
      <c r="H96" s="111"/>
      <c r="I96" s="112"/>
      <c r="J96" s="113"/>
      <c r="K96" s="114"/>
      <c r="L96" s="114"/>
      <c r="M96" s="115"/>
      <c r="N96" s="116"/>
      <c r="O96" s="117"/>
      <c r="P96" s="118"/>
      <c r="Q96" s="119"/>
      <c r="R96" s="120"/>
      <c r="S96" s="68"/>
      <c r="T96" s="121"/>
      <c r="U96" s="122"/>
      <c r="V96" s="120"/>
      <c r="W96" s="68"/>
      <c r="X96" s="121"/>
      <c r="Y96" s="122"/>
      <c r="Z96" s="120"/>
      <c r="AA96" s="123"/>
      <c r="AB96" s="124"/>
      <c r="AC96" s="132"/>
      <c r="AD96" s="125"/>
      <c r="AE96" s="126"/>
      <c r="AF96" s="127"/>
      <c r="AG96" s="128"/>
      <c r="AH96" s="129"/>
      <c r="AI96" s="130"/>
      <c r="AJ96" s="128"/>
      <c r="AK96" s="129"/>
      <c r="AL96" s="130"/>
      <c r="AM96" s="128"/>
      <c r="AN96" s="129"/>
      <c r="AO96" s="130"/>
      <c r="AP96" s="107"/>
      <c r="AQ96" s="131"/>
      <c r="AR96" s="131"/>
      <c r="AS96" s="131"/>
    </row>
    <row r="97" spans="1:45" ht="18" customHeight="1" x14ac:dyDescent="0.45">
      <c r="A97" s="83"/>
      <c r="B97" s="84"/>
      <c r="C97" s="84"/>
      <c r="D97" s="84"/>
      <c r="E97" s="51"/>
      <c r="F97" s="84"/>
      <c r="G97" s="85"/>
      <c r="H97" s="86"/>
      <c r="I97" s="87"/>
      <c r="J97" s="88"/>
      <c r="K97" s="89"/>
      <c r="L97" s="89"/>
      <c r="M97" s="90"/>
      <c r="N97" s="91"/>
      <c r="O97" s="92"/>
      <c r="P97" s="93"/>
      <c r="Q97" s="94"/>
      <c r="R97" s="95"/>
      <c r="S97" s="63"/>
      <c r="T97" s="96"/>
      <c r="U97" s="97"/>
      <c r="V97" s="95"/>
      <c r="W97" s="63"/>
      <c r="X97" s="96"/>
      <c r="Y97" s="97"/>
      <c r="Z97" s="95"/>
      <c r="AA97" s="98"/>
      <c r="AB97" s="99"/>
      <c r="AC97" s="132"/>
      <c r="AD97" s="101"/>
      <c r="AE97" s="102"/>
      <c r="AF97" s="103"/>
      <c r="AG97" s="104"/>
      <c r="AH97" s="105"/>
      <c r="AI97" s="106"/>
      <c r="AJ97" s="104"/>
      <c r="AK97" s="105"/>
      <c r="AL97" s="106"/>
      <c r="AM97" s="104"/>
      <c r="AN97" s="105"/>
      <c r="AO97" s="106"/>
      <c r="AP97" s="107"/>
      <c r="AQ97" s="108"/>
      <c r="AR97" s="108"/>
      <c r="AS97" s="108"/>
    </row>
    <row r="98" spans="1:45" ht="18" customHeight="1" x14ac:dyDescent="0.45">
      <c r="A98" s="83"/>
      <c r="B98" s="46"/>
      <c r="C98" s="46"/>
      <c r="D98" s="46"/>
      <c r="E98" s="109"/>
      <c r="F98" s="46"/>
      <c r="G98" s="110"/>
      <c r="H98" s="111"/>
      <c r="I98" s="112"/>
      <c r="J98" s="113"/>
      <c r="K98" s="114"/>
      <c r="L98" s="114"/>
      <c r="M98" s="115"/>
      <c r="N98" s="116"/>
      <c r="O98" s="117"/>
      <c r="P98" s="118"/>
      <c r="Q98" s="119"/>
      <c r="R98" s="120"/>
      <c r="S98" s="68"/>
      <c r="T98" s="121"/>
      <c r="U98" s="122"/>
      <c r="V98" s="120"/>
      <c r="W98" s="68"/>
      <c r="X98" s="121"/>
      <c r="Y98" s="122"/>
      <c r="Z98" s="120"/>
      <c r="AA98" s="123"/>
      <c r="AB98" s="124"/>
      <c r="AC98" s="132"/>
      <c r="AD98" s="125"/>
      <c r="AE98" s="126"/>
      <c r="AF98" s="127"/>
      <c r="AG98" s="128"/>
      <c r="AH98" s="129"/>
      <c r="AI98" s="130"/>
      <c r="AJ98" s="128"/>
      <c r="AK98" s="129"/>
      <c r="AL98" s="130"/>
      <c r="AM98" s="128"/>
      <c r="AN98" s="129"/>
      <c r="AO98" s="130"/>
      <c r="AP98" s="107"/>
      <c r="AQ98" s="131"/>
      <c r="AR98" s="131"/>
      <c r="AS98" s="131"/>
    </row>
    <row r="99" spans="1:45" ht="18" customHeight="1" x14ac:dyDescent="0.45">
      <c r="A99" s="83"/>
      <c r="B99" s="84"/>
      <c r="C99" s="84"/>
      <c r="D99" s="84"/>
      <c r="E99" s="51"/>
      <c r="F99" s="84"/>
      <c r="G99" s="85"/>
      <c r="H99" s="86"/>
      <c r="I99" s="87"/>
      <c r="J99" s="88"/>
      <c r="K99" s="89"/>
      <c r="L99" s="89"/>
      <c r="M99" s="90"/>
      <c r="N99" s="91"/>
      <c r="O99" s="92"/>
      <c r="P99" s="93"/>
      <c r="Q99" s="94"/>
      <c r="R99" s="95"/>
      <c r="S99" s="63"/>
      <c r="T99" s="96"/>
      <c r="U99" s="97"/>
      <c r="V99" s="95"/>
      <c r="W99" s="63"/>
      <c r="X99" s="96"/>
      <c r="Y99" s="97"/>
      <c r="Z99" s="95"/>
      <c r="AA99" s="98"/>
      <c r="AB99" s="99"/>
      <c r="AC99" s="132"/>
      <c r="AD99" s="101"/>
      <c r="AE99" s="102"/>
      <c r="AF99" s="103"/>
      <c r="AG99" s="104"/>
      <c r="AH99" s="105"/>
      <c r="AI99" s="106"/>
      <c r="AJ99" s="104"/>
      <c r="AK99" s="105"/>
      <c r="AL99" s="106"/>
      <c r="AM99" s="104"/>
      <c r="AN99" s="105"/>
      <c r="AO99" s="106"/>
      <c r="AP99" s="107"/>
      <c r="AQ99" s="108"/>
      <c r="AR99" s="108"/>
      <c r="AS99" s="108"/>
    </row>
    <row r="100" spans="1:45" ht="18" customHeight="1" x14ac:dyDescent="0.45">
      <c r="A100" s="83"/>
      <c r="B100" s="46"/>
      <c r="C100" s="46"/>
      <c r="D100" s="46"/>
      <c r="E100" s="109"/>
      <c r="F100" s="46"/>
      <c r="G100" s="110"/>
      <c r="H100" s="111"/>
      <c r="I100" s="112"/>
      <c r="J100" s="113"/>
      <c r="K100" s="114"/>
      <c r="L100" s="114"/>
      <c r="M100" s="115"/>
      <c r="N100" s="116"/>
      <c r="O100" s="117"/>
      <c r="P100" s="118"/>
      <c r="Q100" s="119"/>
      <c r="R100" s="120"/>
      <c r="S100" s="68"/>
      <c r="T100" s="121"/>
      <c r="U100" s="122"/>
      <c r="V100" s="120"/>
      <c r="W100" s="68"/>
      <c r="X100" s="121"/>
      <c r="Y100" s="122"/>
      <c r="Z100" s="120"/>
      <c r="AA100" s="123"/>
      <c r="AB100" s="124"/>
      <c r="AC100" s="132"/>
      <c r="AD100" s="125"/>
      <c r="AE100" s="126"/>
      <c r="AF100" s="127"/>
      <c r="AG100" s="128"/>
      <c r="AH100" s="129"/>
      <c r="AI100" s="130"/>
      <c r="AJ100" s="128"/>
      <c r="AK100" s="129"/>
      <c r="AL100" s="130"/>
      <c r="AM100" s="128"/>
      <c r="AN100" s="129"/>
      <c r="AO100" s="130"/>
      <c r="AP100" s="107"/>
      <c r="AQ100" s="131"/>
      <c r="AR100" s="131"/>
      <c r="AS100" s="131"/>
    </row>
    <row r="101" spans="1:45" ht="18" customHeight="1" x14ac:dyDescent="0.45">
      <c r="A101" s="83"/>
      <c r="B101" s="84"/>
      <c r="C101" s="84"/>
      <c r="D101" s="84"/>
      <c r="E101" s="51"/>
      <c r="F101" s="84"/>
      <c r="G101" s="85"/>
      <c r="H101" s="86"/>
      <c r="I101" s="87"/>
      <c r="J101" s="88"/>
      <c r="K101" s="89"/>
      <c r="L101" s="89"/>
      <c r="M101" s="90"/>
      <c r="N101" s="91"/>
      <c r="O101" s="92"/>
      <c r="P101" s="93"/>
      <c r="Q101" s="94"/>
      <c r="R101" s="95"/>
      <c r="S101" s="63"/>
      <c r="T101" s="96"/>
      <c r="U101" s="97"/>
      <c r="V101" s="95"/>
      <c r="W101" s="63"/>
      <c r="X101" s="96"/>
      <c r="Y101" s="97"/>
      <c r="Z101" s="95"/>
      <c r="AA101" s="98"/>
      <c r="AB101" s="99"/>
      <c r="AC101" s="132"/>
      <c r="AD101" s="101"/>
      <c r="AE101" s="102"/>
      <c r="AF101" s="103"/>
      <c r="AG101" s="104"/>
      <c r="AH101" s="105"/>
      <c r="AI101" s="106"/>
      <c r="AJ101" s="104"/>
      <c r="AK101" s="105"/>
      <c r="AL101" s="106"/>
      <c r="AM101" s="104"/>
      <c r="AN101" s="105"/>
      <c r="AO101" s="106"/>
      <c r="AP101" s="107"/>
      <c r="AQ101" s="108"/>
      <c r="AR101" s="108"/>
      <c r="AS101" s="108"/>
    </row>
    <row r="102" spans="1:45" ht="18" customHeight="1" x14ac:dyDescent="0.45">
      <c r="A102" s="83"/>
      <c r="B102" s="46"/>
      <c r="C102" s="46"/>
      <c r="D102" s="46"/>
      <c r="E102" s="109"/>
      <c r="F102" s="46"/>
      <c r="G102" s="110"/>
      <c r="H102" s="111"/>
      <c r="I102" s="112"/>
      <c r="J102" s="113"/>
      <c r="K102" s="114"/>
      <c r="L102" s="114"/>
      <c r="M102" s="115"/>
      <c r="N102" s="116"/>
      <c r="O102" s="117"/>
      <c r="P102" s="118"/>
      <c r="Q102" s="119"/>
      <c r="R102" s="120"/>
      <c r="S102" s="68"/>
      <c r="T102" s="121"/>
      <c r="U102" s="122"/>
      <c r="V102" s="120"/>
      <c r="W102" s="68"/>
      <c r="X102" s="121"/>
      <c r="Y102" s="122"/>
      <c r="Z102" s="120"/>
      <c r="AA102" s="123"/>
      <c r="AB102" s="124"/>
      <c r="AC102" s="132"/>
      <c r="AD102" s="125"/>
      <c r="AE102" s="126"/>
      <c r="AF102" s="127"/>
      <c r="AG102" s="128"/>
      <c r="AH102" s="129"/>
      <c r="AI102" s="130"/>
      <c r="AJ102" s="128"/>
      <c r="AK102" s="129"/>
      <c r="AL102" s="130"/>
      <c r="AM102" s="128"/>
      <c r="AN102" s="129"/>
      <c r="AO102" s="130"/>
      <c r="AP102" s="107"/>
      <c r="AQ102" s="131"/>
      <c r="AR102" s="131"/>
      <c r="AS102" s="131"/>
    </row>
    <row r="103" spans="1:45" ht="18" customHeight="1" x14ac:dyDescent="0.45">
      <c r="A103" s="83"/>
      <c r="B103" s="84"/>
      <c r="C103" s="84"/>
      <c r="D103" s="84"/>
      <c r="E103" s="51"/>
      <c r="F103" s="84"/>
      <c r="G103" s="85"/>
      <c r="H103" s="86"/>
      <c r="I103" s="87"/>
      <c r="J103" s="88"/>
      <c r="K103" s="89"/>
      <c r="L103" s="89"/>
      <c r="M103" s="90"/>
      <c r="N103" s="91"/>
      <c r="O103" s="92"/>
      <c r="P103" s="93"/>
      <c r="Q103" s="94"/>
      <c r="R103" s="95"/>
      <c r="S103" s="63"/>
      <c r="T103" s="96"/>
      <c r="U103" s="97"/>
      <c r="V103" s="95"/>
      <c r="W103" s="63"/>
      <c r="X103" s="96"/>
      <c r="Y103" s="97"/>
      <c r="Z103" s="95"/>
      <c r="AA103" s="98"/>
      <c r="AB103" s="99"/>
      <c r="AC103" s="132"/>
      <c r="AD103" s="101"/>
      <c r="AE103" s="102"/>
      <c r="AF103" s="103"/>
      <c r="AG103" s="104"/>
      <c r="AH103" s="105"/>
      <c r="AI103" s="106"/>
      <c r="AJ103" s="104"/>
      <c r="AK103" s="105"/>
      <c r="AL103" s="106"/>
      <c r="AM103" s="104"/>
      <c r="AN103" s="105"/>
      <c r="AO103" s="106"/>
      <c r="AP103" s="107"/>
      <c r="AQ103" s="108"/>
      <c r="AR103" s="108"/>
      <c r="AS103" s="108"/>
    </row>
    <row r="104" spans="1:45" ht="18" customHeight="1" x14ac:dyDescent="0.45">
      <c r="A104" s="83"/>
      <c r="B104" s="46"/>
      <c r="C104" s="46"/>
      <c r="D104" s="46"/>
      <c r="E104" s="109"/>
      <c r="F104" s="46"/>
      <c r="G104" s="110"/>
      <c r="H104" s="111"/>
      <c r="I104" s="112"/>
      <c r="J104" s="113"/>
      <c r="K104" s="114"/>
      <c r="L104" s="114"/>
      <c r="M104" s="115"/>
      <c r="N104" s="116"/>
      <c r="O104" s="117"/>
      <c r="P104" s="118"/>
      <c r="Q104" s="119"/>
      <c r="R104" s="120"/>
      <c r="S104" s="68"/>
      <c r="T104" s="121"/>
      <c r="U104" s="122"/>
      <c r="V104" s="120"/>
      <c r="W104" s="68"/>
      <c r="X104" s="121"/>
      <c r="Y104" s="122"/>
      <c r="Z104" s="120"/>
      <c r="AA104" s="123"/>
      <c r="AB104" s="124"/>
      <c r="AC104" s="132"/>
      <c r="AD104" s="125"/>
      <c r="AE104" s="126"/>
      <c r="AF104" s="127"/>
      <c r="AG104" s="128"/>
      <c r="AH104" s="129"/>
      <c r="AI104" s="130"/>
      <c r="AJ104" s="128"/>
      <c r="AK104" s="129"/>
      <c r="AL104" s="130"/>
      <c r="AM104" s="128"/>
      <c r="AN104" s="129"/>
      <c r="AO104" s="130"/>
      <c r="AP104" s="107"/>
      <c r="AQ104" s="131"/>
      <c r="AR104" s="131"/>
      <c r="AS104" s="131"/>
    </row>
    <row r="105" spans="1:45" ht="18" customHeight="1" x14ac:dyDescent="0.45">
      <c r="A105" s="83"/>
      <c r="B105" s="84"/>
      <c r="C105" s="84"/>
      <c r="D105" s="84"/>
      <c r="E105" s="51"/>
      <c r="F105" s="84"/>
      <c r="G105" s="85"/>
      <c r="H105" s="86"/>
      <c r="I105" s="87"/>
      <c r="J105" s="88"/>
      <c r="K105" s="89"/>
      <c r="L105" s="89"/>
      <c r="M105" s="90"/>
      <c r="N105" s="91"/>
      <c r="O105" s="92"/>
      <c r="P105" s="93"/>
      <c r="Q105" s="94"/>
      <c r="R105" s="95"/>
      <c r="S105" s="63"/>
      <c r="T105" s="96"/>
      <c r="U105" s="97"/>
      <c r="V105" s="95"/>
      <c r="W105" s="63"/>
      <c r="X105" s="96"/>
      <c r="Y105" s="97"/>
      <c r="Z105" s="95"/>
      <c r="AA105" s="98"/>
      <c r="AB105" s="99"/>
      <c r="AC105" s="132"/>
      <c r="AD105" s="101"/>
      <c r="AE105" s="102"/>
      <c r="AF105" s="103"/>
      <c r="AG105" s="104"/>
      <c r="AH105" s="105"/>
      <c r="AI105" s="106"/>
      <c r="AJ105" s="104"/>
      <c r="AK105" s="105"/>
      <c r="AL105" s="106"/>
      <c r="AM105" s="104"/>
      <c r="AN105" s="105"/>
      <c r="AO105" s="106"/>
      <c r="AP105" s="107"/>
      <c r="AQ105" s="108"/>
      <c r="AR105" s="108"/>
      <c r="AS105" s="108"/>
    </row>
    <row r="106" spans="1:45" ht="18" customHeight="1" x14ac:dyDescent="0.45">
      <c r="A106" s="83"/>
      <c r="B106" s="46"/>
      <c r="C106" s="46"/>
      <c r="D106" s="46"/>
      <c r="E106" s="109"/>
      <c r="F106" s="46"/>
      <c r="G106" s="110"/>
      <c r="H106" s="111"/>
      <c r="I106" s="112"/>
      <c r="J106" s="113"/>
      <c r="K106" s="114"/>
      <c r="L106" s="114"/>
      <c r="M106" s="115"/>
      <c r="N106" s="116"/>
      <c r="O106" s="117"/>
      <c r="P106" s="118"/>
      <c r="Q106" s="119"/>
      <c r="R106" s="120"/>
      <c r="S106" s="68"/>
      <c r="T106" s="121"/>
      <c r="U106" s="122"/>
      <c r="V106" s="120"/>
      <c r="W106" s="68"/>
      <c r="X106" s="121"/>
      <c r="Y106" s="122"/>
      <c r="Z106" s="120"/>
      <c r="AA106" s="123"/>
      <c r="AB106" s="124"/>
      <c r="AC106" s="132"/>
      <c r="AD106" s="125"/>
      <c r="AE106" s="126"/>
      <c r="AF106" s="127"/>
      <c r="AG106" s="128"/>
      <c r="AH106" s="129"/>
      <c r="AI106" s="130"/>
      <c r="AJ106" s="128"/>
      <c r="AK106" s="129"/>
      <c r="AL106" s="130"/>
      <c r="AM106" s="128"/>
      <c r="AN106" s="129"/>
      <c r="AO106" s="130"/>
      <c r="AP106" s="107"/>
      <c r="AQ106" s="131"/>
      <c r="AR106" s="131"/>
      <c r="AS106" s="131"/>
    </row>
    <row r="107" spans="1:45" ht="18" customHeight="1" x14ac:dyDescent="0.45">
      <c r="A107" s="83"/>
      <c r="B107" s="84"/>
      <c r="C107" s="84"/>
      <c r="D107" s="84"/>
      <c r="E107" s="51"/>
      <c r="F107" s="84"/>
      <c r="G107" s="85"/>
      <c r="H107" s="86"/>
      <c r="I107" s="87"/>
      <c r="J107" s="88"/>
      <c r="K107" s="89"/>
      <c r="L107" s="89"/>
      <c r="M107" s="90"/>
      <c r="N107" s="91"/>
      <c r="O107" s="92"/>
      <c r="P107" s="93"/>
      <c r="Q107" s="94"/>
      <c r="R107" s="95"/>
      <c r="S107" s="63"/>
      <c r="T107" s="96"/>
      <c r="U107" s="97"/>
      <c r="V107" s="95"/>
      <c r="W107" s="63"/>
      <c r="X107" s="96"/>
      <c r="Y107" s="97"/>
      <c r="Z107" s="95"/>
      <c r="AA107" s="98"/>
      <c r="AB107" s="99"/>
      <c r="AC107" s="132"/>
      <c r="AD107" s="101"/>
      <c r="AE107" s="102"/>
      <c r="AF107" s="103"/>
      <c r="AG107" s="104"/>
      <c r="AH107" s="105"/>
      <c r="AI107" s="106"/>
      <c r="AJ107" s="104"/>
      <c r="AK107" s="105"/>
      <c r="AL107" s="106"/>
      <c r="AM107" s="104"/>
      <c r="AN107" s="105"/>
      <c r="AO107" s="106"/>
      <c r="AP107" s="107"/>
      <c r="AQ107" s="108"/>
      <c r="AR107" s="108"/>
      <c r="AS107" s="108"/>
    </row>
    <row r="108" spans="1:45" ht="18" customHeight="1" x14ac:dyDescent="0.45">
      <c r="A108" s="83"/>
      <c r="B108" s="46"/>
      <c r="C108" s="46"/>
      <c r="D108" s="46"/>
      <c r="E108" s="109"/>
      <c r="F108" s="46"/>
      <c r="G108" s="110"/>
      <c r="H108" s="111"/>
      <c r="I108" s="112"/>
      <c r="J108" s="113"/>
      <c r="K108" s="114"/>
      <c r="L108" s="114"/>
      <c r="M108" s="115"/>
      <c r="N108" s="116"/>
      <c r="O108" s="117"/>
      <c r="P108" s="118"/>
      <c r="Q108" s="119"/>
      <c r="R108" s="120"/>
      <c r="S108" s="68"/>
      <c r="T108" s="121"/>
      <c r="U108" s="122"/>
      <c r="V108" s="120"/>
      <c r="W108" s="68"/>
      <c r="X108" s="121"/>
      <c r="Y108" s="122"/>
      <c r="Z108" s="120"/>
      <c r="AA108" s="123"/>
      <c r="AB108" s="124"/>
      <c r="AC108" s="132"/>
      <c r="AD108" s="125"/>
      <c r="AE108" s="126"/>
      <c r="AF108" s="127"/>
      <c r="AG108" s="128"/>
      <c r="AH108" s="129"/>
      <c r="AI108" s="130"/>
      <c r="AJ108" s="128"/>
      <c r="AK108" s="129"/>
      <c r="AL108" s="130"/>
      <c r="AM108" s="128"/>
      <c r="AN108" s="129"/>
      <c r="AO108" s="130"/>
      <c r="AP108" s="107"/>
      <c r="AQ108" s="131"/>
      <c r="AR108" s="131"/>
      <c r="AS108" s="131"/>
    </row>
    <row r="109" spans="1:45" ht="18" customHeight="1" x14ac:dyDescent="0.45">
      <c r="A109" s="83"/>
      <c r="B109" s="84"/>
      <c r="C109" s="84"/>
      <c r="D109" s="84"/>
      <c r="E109" s="51"/>
      <c r="F109" s="84"/>
      <c r="G109" s="85"/>
      <c r="H109" s="86"/>
      <c r="I109" s="87"/>
      <c r="J109" s="88"/>
      <c r="K109" s="89"/>
      <c r="L109" s="89"/>
      <c r="M109" s="90"/>
      <c r="N109" s="91"/>
      <c r="O109" s="92"/>
      <c r="P109" s="93"/>
      <c r="Q109" s="94"/>
      <c r="R109" s="95"/>
      <c r="S109" s="63"/>
      <c r="T109" s="96"/>
      <c r="U109" s="97"/>
      <c r="V109" s="95"/>
      <c r="W109" s="63"/>
      <c r="X109" s="96"/>
      <c r="Y109" s="97"/>
      <c r="Z109" s="95"/>
      <c r="AA109" s="98"/>
      <c r="AB109" s="99"/>
      <c r="AC109" s="132"/>
      <c r="AD109" s="101"/>
      <c r="AE109" s="102"/>
      <c r="AF109" s="103"/>
      <c r="AG109" s="104"/>
      <c r="AH109" s="105"/>
      <c r="AI109" s="106"/>
      <c r="AJ109" s="104"/>
      <c r="AK109" s="105"/>
      <c r="AL109" s="106"/>
      <c r="AM109" s="104"/>
      <c r="AN109" s="105"/>
      <c r="AO109" s="106"/>
      <c r="AP109" s="107"/>
      <c r="AQ109" s="108"/>
      <c r="AR109" s="108"/>
      <c r="AS109" s="108"/>
    </row>
    <row r="110" spans="1:45" ht="18" customHeight="1" x14ac:dyDescent="0.45">
      <c r="A110" s="83"/>
      <c r="B110" s="46"/>
      <c r="C110" s="46"/>
      <c r="D110" s="46"/>
      <c r="E110" s="109"/>
      <c r="F110" s="46"/>
      <c r="G110" s="110"/>
      <c r="H110" s="111"/>
      <c r="I110" s="112"/>
      <c r="J110" s="113"/>
      <c r="K110" s="114"/>
      <c r="L110" s="114"/>
      <c r="M110" s="115"/>
      <c r="N110" s="116"/>
      <c r="O110" s="117"/>
      <c r="P110" s="118"/>
      <c r="Q110" s="119"/>
      <c r="R110" s="120"/>
      <c r="S110" s="68"/>
      <c r="T110" s="121"/>
      <c r="U110" s="122"/>
      <c r="V110" s="120"/>
      <c r="W110" s="68"/>
      <c r="X110" s="121"/>
      <c r="Y110" s="122"/>
      <c r="Z110" s="120"/>
      <c r="AA110" s="123"/>
      <c r="AB110" s="124"/>
      <c r="AC110" s="132"/>
      <c r="AD110" s="125"/>
      <c r="AE110" s="126"/>
      <c r="AF110" s="127"/>
      <c r="AG110" s="128"/>
      <c r="AH110" s="129"/>
      <c r="AI110" s="130"/>
      <c r="AJ110" s="128"/>
      <c r="AK110" s="129"/>
      <c r="AL110" s="130"/>
      <c r="AM110" s="128"/>
      <c r="AN110" s="129"/>
      <c r="AO110" s="130"/>
      <c r="AP110" s="107"/>
      <c r="AQ110" s="131"/>
      <c r="AR110" s="131"/>
      <c r="AS110" s="131"/>
    </row>
    <row r="111" spans="1:45" ht="18" customHeight="1" x14ac:dyDescent="0.45">
      <c r="A111" s="83"/>
      <c r="B111" s="84"/>
      <c r="C111" s="84"/>
      <c r="D111" s="84"/>
      <c r="E111" s="51"/>
      <c r="F111" s="84"/>
      <c r="G111" s="85"/>
      <c r="H111" s="86"/>
      <c r="I111" s="87"/>
      <c r="J111" s="88"/>
      <c r="K111" s="89"/>
      <c r="L111" s="89"/>
      <c r="M111" s="90"/>
      <c r="N111" s="91"/>
      <c r="O111" s="92"/>
      <c r="P111" s="93"/>
      <c r="Q111" s="94"/>
      <c r="R111" s="95"/>
      <c r="S111" s="63"/>
      <c r="T111" s="96"/>
      <c r="U111" s="97"/>
      <c r="V111" s="95"/>
      <c r="W111" s="63"/>
      <c r="X111" s="96"/>
      <c r="Y111" s="97"/>
      <c r="Z111" s="95"/>
      <c r="AA111" s="98"/>
      <c r="AB111" s="99"/>
      <c r="AC111" s="132"/>
      <c r="AD111" s="101"/>
      <c r="AE111" s="102"/>
      <c r="AF111" s="103"/>
      <c r="AG111" s="104"/>
      <c r="AH111" s="105"/>
      <c r="AI111" s="106"/>
      <c r="AJ111" s="104"/>
      <c r="AK111" s="105"/>
      <c r="AL111" s="106"/>
      <c r="AM111" s="104"/>
      <c r="AN111" s="105"/>
      <c r="AO111" s="106"/>
      <c r="AP111" s="107"/>
      <c r="AQ111" s="108"/>
      <c r="AR111" s="108"/>
      <c r="AS111" s="108"/>
    </row>
    <row r="112" spans="1:45" ht="18" customHeight="1" x14ac:dyDescent="0.45">
      <c r="A112" s="83"/>
      <c r="B112" s="46"/>
      <c r="C112" s="46"/>
      <c r="D112" s="46"/>
      <c r="E112" s="109"/>
      <c r="F112" s="46"/>
      <c r="G112" s="110"/>
      <c r="H112" s="111"/>
      <c r="I112" s="112"/>
      <c r="J112" s="113"/>
      <c r="K112" s="114"/>
      <c r="L112" s="114"/>
      <c r="M112" s="115"/>
      <c r="N112" s="116"/>
      <c r="O112" s="117"/>
      <c r="P112" s="118"/>
      <c r="Q112" s="119"/>
      <c r="R112" s="120"/>
      <c r="S112" s="68"/>
      <c r="T112" s="121"/>
      <c r="U112" s="122"/>
      <c r="V112" s="120"/>
      <c r="W112" s="68"/>
      <c r="X112" s="121"/>
      <c r="Y112" s="122"/>
      <c r="Z112" s="120"/>
      <c r="AA112" s="123"/>
      <c r="AB112" s="124"/>
      <c r="AC112" s="132"/>
      <c r="AD112" s="125"/>
      <c r="AE112" s="126"/>
      <c r="AF112" s="127"/>
      <c r="AG112" s="128"/>
      <c r="AH112" s="129"/>
      <c r="AI112" s="130"/>
      <c r="AJ112" s="128"/>
      <c r="AK112" s="129"/>
      <c r="AL112" s="130"/>
      <c r="AM112" s="128"/>
      <c r="AN112" s="129"/>
      <c r="AO112" s="130"/>
      <c r="AP112" s="107"/>
      <c r="AQ112" s="131"/>
      <c r="AR112" s="131"/>
      <c r="AS112" s="131"/>
    </row>
    <row r="113" spans="1:45" ht="18" customHeight="1" x14ac:dyDescent="0.45">
      <c r="A113" s="83"/>
      <c r="B113" s="84"/>
      <c r="C113" s="84"/>
      <c r="D113" s="84"/>
      <c r="E113" s="51"/>
      <c r="F113" s="84"/>
      <c r="G113" s="85"/>
      <c r="H113" s="86"/>
      <c r="I113" s="87"/>
      <c r="J113" s="88"/>
      <c r="K113" s="89"/>
      <c r="L113" s="89"/>
      <c r="M113" s="90"/>
      <c r="N113" s="91"/>
      <c r="O113" s="92"/>
      <c r="P113" s="93"/>
      <c r="Q113" s="94"/>
      <c r="R113" s="95"/>
      <c r="S113" s="63"/>
      <c r="T113" s="96"/>
      <c r="U113" s="97"/>
      <c r="V113" s="95"/>
      <c r="W113" s="63"/>
      <c r="X113" s="96"/>
      <c r="Y113" s="97"/>
      <c r="Z113" s="95"/>
      <c r="AA113" s="98"/>
      <c r="AB113" s="99"/>
      <c r="AC113" s="132"/>
      <c r="AD113" s="101"/>
      <c r="AE113" s="102"/>
      <c r="AF113" s="103"/>
      <c r="AG113" s="104"/>
      <c r="AH113" s="105"/>
      <c r="AI113" s="106"/>
      <c r="AJ113" s="104"/>
      <c r="AK113" s="105"/>
      <c r="AL113" s="106"/>
      <c r="AM113" s="104"/>
      <c r="AN113" s="105"/>
      <c r="AO113" s="106"/>
      <c r="AP113" s="107"/>
      <c r="AQ113" s="108"/>
      <c r="AR113" s="108"/>
      <c r="AS113" s="108"/>
    </row>
    <row r="114" spans="1:45" ht="18" customHeight="1" x14ac:dyDescent="0.45">
      <c r="A114" s="83"/>
      <c r="B114" s="46"/>
      <c r="C114" s="46"/>
      <c r="D114" s="46"/>
      <c r="E114" s="109"/>
      <c r="F114" s="46"/>
      <c r="G114" s="110"/>
      <c r="H114" s="111"/>
      <c r="I114" s="112"/>
      <c r="J114" s="113"/>
      <c r="K114" s="114"/>
      <c r="L114" s="114"/>
      <c r="M114" s="115"/>
      <c r="N114" s="116"/>
      <c r="O114" s="117"/>
      <c r="P114" s="118"/>
      <c r="Q114" s="119"/>
      <c r="R114" s="120"/>
      <c r="S114" s="68"/>
      <c r="T114" s="121"/>
      <c r="U114" s="122"/>
      <c r="V114" s="120"/>
      <c r="W114" s="68"/>
      <c r="X114" s="121"/>
      <c r="Y114" s="122"/>
      <c r="Z114" s="120"/>
      <c r="AA114" s="123"/>
      <c r="AB114" s="124"/>
      <c r="AC114" s="132"/>
      <c r="AD114" s="125"/>
      <c r="AE114" s="126"/>
      <c r="AF114" s="127"/>
      <c r="AG114" s="128"/>
      <c r="AH114" s="129"/>
      <c r="AI114" s="130"/>
      <c r="AJ114" s="128"/>
      <c r="AK114" s="129"/>
      <c r="AL114" s="130"/>
      <c r="AM114" s="128"/>
      <c r="AN114" s="129"/>
      <c r="AO114" s="130"/>
      <c r="AP114" s="107"/>
      <c r="AQ114" s="131"/>
      <c r="AR114" s="131"/>
      <c r="AS114" s="131"/>
    </row>
    <row r="115" spans="1:45" ht="18" customHeight="1" x14ac:dyDescent="0.45">
      <c r="A115" s="83"/>
      <c r="B115" s="84"/>
      <c r="C115" s="84"/>
      <c r="D115" s="84"/>
      <c r="E115" s="51"/>
      <c r="F115" s="84"/>
      <c r="G115" s="85"/>
      <c r="H115" s="86"/>
      <c r="I115" s="87"/>
      <c r="J115" s="88"/>
      <c r="K115" s="89"/>
      <c r="L115" s="89"/>
      <c r="M115" s="90"/>
      <c r="N115" s="91"/>
      <c r="O115" s="92"/>
      <c r="P115" s="93"/>
      <c r="Q115" s="94"/>
      <c r="R115" s="95"/>
      <c r="S115" s="63"/>
      <c r="T115" s="96"/>
      <c r="U115" s="97"/>
      <c r="V115" s="95"/>
      <c r="W115" s="63"/>
      <c r="X115" s="96"/>
      <c r="Y115" s="97"/>
      <c r="Z115" s="95"/>
      <c r="AA115" s="98"/>
      <c r="AB115" s="99"/>
      <c r="AC115" s="132"/>
      <c r="AD115" s="101"/>
      <c r="AE115" s="102"/>
      <c r="AF115" s="103"/>
      <c r="AG115" s="104"/>
      <c r="AH115" s="105"/>
      <c r="AI115" s="106"/>
      <c r="AJ115" s="104"/>
      <c r="AK115" s="105"/>
      <c r="AL115" s="106"/>
      <c r="AM115" s="104"/>
      <c r="AN115" s="105"/>
      <c r="AO115" s="106"/>
      <c r="AP115" s="107"/>
      <c r="AQ115" s="108"/>
      <c r="AR115" s="108"/>
      <c r="AS115" s="108"/>
    </row>
    <row r="116" spans="1:45" ht="18" customHeight="1" x14ac:dyDescent="0.45">
      <c r="A116" s="83"/>
      <c r="B116" s="46"/>
      <c r="C116" s="46"/>
      <c r="D116" s="46"/>
      <c r="E116" s="109"/>
      <c r="F116" s="46"/>
      <c r="G116" s="110"/>
      <c r="H116" s="111"/>
      <c r="I116" s="112"/>
      <c r="J116" s="113"/>
      <c r="K116" s="114"/>
      <c r="L116" s="114"/>
      <c r="M116" s="115"/>
      <c r="N116" s="116"/>
      <c r="O116" s="117"/>
      <c r="P116" s="118"/>
      <c r="Q116" s="119"/>
      <c r="R116" s="120"/>
      <c r="S116" s="68"/>
      <c r="T116" s="121"/>
      <c r="U116" s="122"/>
      <c r="V116" s="120"/>
      <c r="W116" s="68"/>
      <c r="X116" s="121"/>
      <c r="Y116" s="122"/>
      <c r="Z116" s="120"/>
      <c r="AA116" s="123"/>
      <c r="AB116" s="124"/>
      <c r="AC116" s="132"/>
      <c r="AD116" s="125"/>
      <c r="AE116" s="126"/>
      <c r="AF116" s="127"/>
      <c r="AG116" s="128"/>
      <c r="AH116" s="129"/>
      <c r="AI116" s="130"/>
      <c r="AJ116" s="128"/>
      <c r="AK116" s="129"/>
      <c r="AL116" s="130"/>
      <c r="AM116" s="128"/>
      <c r="AN116" s="129"/>
      <c r="AO116" s="130"/>
      <c r="AP116" s="107"/>
      <c r="AQ116" s="131"/>
      <c r="AR116" s="131"/>
      <c r="AS116" s="131"/>
    </row>
    <row r="117" spans="1:45" ht="18" customHeight="1" x14ac:dyDescent="0.45">
      <c r="A117" s="83"/>
      <c r="B117" s="84"/>
      <c r="C117" s="84"/>
      <c r="D117" s="84"/>
      <c r="E117" s="51"/>
      <c r="F117" s="84"/>
      <c r="G117" s="85"/>
      <c r="H117" s="86"/>
      <c r="I117" s="87"/>
      <c r="J117" s="88"/>
      <c r="K117" s="89"/>
      <c r="L117" s="89"/>
      <c r="M117" s="90"/>
      <c r="N117" s="91"/>
      <c r="O117" s="92"/>
      <c r="P117" s="93"/>
      <c r="Q117" s="94"/>
      <c r="R117" s="95"/>
      <c r="S117" s="63"/>
      <c r="T117" s="96"/>
      <c r="U117" s="97"/>
      <c r="V117" s="95"/>
      <c r="W117" s="63"/>
      <c r="X117" s="96"/>
      <c r="Y117" s="97"/>
      <c r="Z117" s="95"/>
      <c r="AA117" s="98"/>
      <c r="AB117" s="99"/>
      <c r="AC117" s="132"/>
      <c r="AD117" s="101"/>
      <c r="AE117" s="102"/>
      <c r="AF117" s="103"/>
      <c r="AG117" s="104"/>
      <c r="AH117" s="105"/>
      <c r="AI117" s="106"/>
      <c r="AJ117" s="104"/>
      <c r="AK117" s="105"/>
      <c r="AL117" s="106"/>
      <c r="AM117" s="104"/>
      <c r="AN117" s="105"/>
      <c r="AO117" s="106"/>
      <c r="AP117" s="107"/>
      <c r="AQ117" s="108"/>
      <c r="AR117" s="108"/>
      <c r="AS117" s="108"/>
    </row>
    <row r="118" spans="1:45" ht="18" customHeight="1" x14ac:dyDescent="0.45">
      <c r="A118" s="83"/>
      <c r="B118" s="46"/>
      <c r="C118" s="46"/>
      <c r="D118" s="46"/>
      <c r="E118" s="109"/>
      <c r="F118" s="46"/>
      <c r="G118" s="110"/>
      <c r="H118" s="111"/>
      <c r="I118" s="112"/>
      <c r="J118" s="113"/>
      <c r="K118" s="114"/>
      <c r="L118" s="114"/>
      <c r="M118" s="115"/>
      <c r="N118" s="116"/>
      <c r="O118" s="117"/>
      <c r="P118" s="118"/>
      <c r="Q118" s="119"/>
      <c r="R118" s="120"/>
      <c r="S118" s="68"/>
      <c r="T118" s="121"/>
      <c r="U118" s="122"/>
      <c r="V118" s="120"/>
      <c r="W118" s="68"/>
      <c r="X118" s="121"/>
      <c r="Y118" s="122"/>
      <c r="Z118" s="120"/>
      <c r="AA118" s="123"/>
      <c r="AB118" s="124"/>
      <c r="AC118" s="132"/>
      <c r="AD118" s="125"/>
      <c r="AE118" s="126"/>
      <c r="AF118" s="127"/>
      <c r="AG118" s="128"/>
      <c r="AH118" s="129"/>
      <c r="AI118" s="130"/>
      <c r="AJ118" s="128"/>
      <c r="AK118" s="129"/>
      <c r="AL118" s="130"/>
      <c r="AM118" s="128"/>
      <c r="AN118" s="129"/>
      <c r="AO118" s="130"/>
      <c r="AP118" s="107"/>
      <c r="AQ118" s="131"/>
      <c r="AR118" s="131"/>
      <c r="AS118" s="131"/>
    </row>
    <row r="119" spans="1:45" ht="18" customHeight="1" x14ac:dyDescent="0.45">
      <c r="A119" s="83"/>
      <c r="B119" s="84"/>
      <c r="C119" s="84"/>
      <c r="D119" s="84"/>
      <c r="E119" s="51"/>
      <c r="F119" s="84"/>
      <c r="G119" s="85"/>
      <c r="H119" s="86"/>
      <c r="I119" s="87"/>
      <c r="J119" s="88"/>
      <c r="K119" s="89"/>
      <c r="L119" s="89"/>
      <c r="M119" s="90"/>
      <c r="N119" s="91"/>
      <c r="O119" s="92"/>
      <c r="P119" s="93"/>
      <c r="Q119" s="94"/>
      <c r="R119" s="95"/>
      <c r="S119" s="63"/>
      <c r="T119" s="96"/>
      <c r="U119" s="97"/>
      <c r="V119" s="95"/>
      <c r="W119" s="63"/>
      <c r="X119" s="96"/>
      <c r="Y119" s="97"/>
      <c r="Z119" s="95"/>
      <c r="AA119" s="98"/>
      <c r="AB119" s="99"/>
      <c r="AC119" s="132"/>
      <c r="AD119" s="101"/>
      <c r="AE119" s="102"/>
      <c r="AF119" s="103"/>
      <c r="AG119" s="104"/>
      <c r="AH119" s="105"/>
      <c r="AI119" s="106"/>
      <c r="AJ119" s="104"/>
      <c r="AK119" s="105"/>
      <c r="AL119" s="106"/>
      <c r="AM119" s="104"/>
      <c r="AN119" s="105"/>
      <c r="AO119" s="106"/>
      <c r="AP119" s="107"/>
      <c r="AQ119" s="108"/>
      <c r="AR119" s="108"/>
      <c r="AS119" s="108"/>
    </row>
    <row r="120" spans="1:45" ht="18" customHeight="1" x14ac:dyDescent="0.45">
      <c r="A120" s="83"/>
      <c r="B120" s="46"/>
      <c r="C120" s="46"/>
      <c r="D120" s="46"/>
      <c r="E120" s="109"/>
      <c r="F120" s="46"/>
      <c r="G120" s="110"/>
      <c r="H120" s="111"/>
      <c r="I120" s="112"/>
      <c r="J120" s="113"/>
      <c r="K120" s="114"/>
      <c r="L120" s="114"/>
      <c r="M120" s="115"/>
      <c r="N120" s="116"/>
      <c r="O120" s="117"/>
      <c r="P120" s="118"/>
      <c r="Q120" s="119"/>
      <c r="R120" s="120"/>
      <c r="S120" s="68"/>
      <c r="T120" s="121"/>
      <c r="U120" s="122"/>
      <c r="V120" s="120"/>
      <c r="W120" s="68"/>
      <c r="X120" s="121"/>
      <c r="Y120" s="122"/>
      <c r="Z120" s="120"/>
      <c r="AA120" s="123"/>
      <c r="AB120" s="124"/>
      <c r="AC120" s="132"/>
      <c r="AD120" s="125"/>
      <c r="AE120" s="126"/>
      <c r="AF120" s="127"/>
      <c r="AG120" s="128"/>
      <c r="AH120" s="129"/>
      <c r="AI120" s="130"/>
      <c r="AJ120" s="128"/>
      <c r="AK120" s="129"/>
      <c r="AL120" s="130"/>
      <c r="AM120" s="128"/>
      <c r="AN120" s="129"/>
      <c r="AO120" s="130"/>
      <c r="AP120" s="107"/>
      <c r="AQ120" s="131"/>
      <c r="AR120" s="131"/>
      <c r="AS120" s="131"/>
    </row>
    <row r="121" spans="1:45" ht="18" customHeight="1" x14ac:dyDescent="0.45">
      <c r="A121" s="83"/>
      <c r="B121" s="84"/>
      <c r="C121" s="84"/>
      <c r="D121" s="84"/>
      <c r="E121" s="51"/>
      <c r="F121" s="84"/>
      <c r="G121" s="85"/>
      <c r="H121" s="86"/>
      <c r="I121" s="87"/>
      <c r="J121" s="88"/>
      <c r="K121" s="89"/>
      <c r="L121" s="89"/>
      <c r="M121" s="90"/>
      <c r="N121" s="91"/>
      <c r="O121" s="92"/>
      <c r="P121" s="93"/>
      <c r="Q121" s="94"/>
      <c r="R121" s="95"/>
      <c r="S121" s="63"/>
      <c r="T121" s="96"/>
      <c r="U121" s="97"/>
      <c r="V121" s="95"/>
      <c r="W121" s="63"/>
      <c r="X121" s="96"/>
      <c r="Y121" s="97"/>
      <c r="Z121" s="95"/>
      <c r="AA121" s="98"/>
      <c r="AB121" s="99"/>
      <c r="AC121" s="100"/>
      <c r="AD121" s="101"/>
      <c r="AE121" s="102"/>
      <c r="AF121" s="103"/>
      <c r="AG121" s="104"/>
      <c r="AH121" s="105"/>
      <c r="AI121" s="106"/>
      <c r="AJ121" s="104"/>
      <c r="AK121" s="105"/>
      <c r="AL121" s="106"/>
      <c r="AM121" s="104"/>
      <c r="AN121" s="105"/>
      <c r="AO121" s="106"/>
      <c r="AP121" s="107"/>
      <c r="AQ121" s="108"/>
      <c r="AR121" s="108"/>
      <c r="AS121" s="108"/>
    </row>
    <row r="122" spans="1:45" ht="18" customHeight="1" x14ac:dyDescent="0.45">
      <c r="A122" s="83"/>
      <c r="B122" s="46"/>
      <c r="C122" s="46"/>
      <c r="D122" s="46"/>
      <c r="E122" s="109"/>
      <c r="F122" s="46"/>
      <c r="G122" s="110"/>
      <c r="H122" s="111"/>
      <c r="I122" s="112"/>
      <c r="J122" s="113"/>
      <c r="K122" s="114"/>
      <c r="L122" s="114"/>
      <c r="M122" s="115"/>
      <c r="N122" s="116"/>
      <c r="O122" s="117"/>
      <c r="P122" s="118"/>
      <c r="Q122" s="119"/>
      <c r="R122" s="120"/>
      <c r="S122" s="68"/>
      <c r="T122" s="121"/>
      <c r="U122" s="122"/>
      <c r="V122" s="120"/>
      <c r="W122" s="68"/>
      <c r="X122" s="121"/>
      <c r="Y122" s="122"/>
      <c r="Z122" s="120"/>
      <c r="AA122" s="123"/>
      <c r="AB122" s="124"/>
      <c r="AC122" s="100"/>
      <c r="AD122" s="125"/>
      <c r="AE122" s="126"/>
      <c r="AF122" s="127"/>
      <c r="AG122" s="128"/>
      <c r="AH122" s="129"/>
      <c r="AI122" s="130"/>
      <c r="AJ122" s="128"/>
      <c r="AK122" s="129"/>
      <c r="AL122" s="130"/>
      <c r="AM122" s="128"/>
      <c r="AN122" s="129"/>
      <c r="AO122" s="130"/>
      <c r="AP122" s="107"/>
      <c r="AQ122" s="131"/>
      <c r="AR122" s="131"/>
      <c r="AS122" s="131"/>
    </row>
    <row r="123" spans="1:45" ht="18" customHeight="1" x14ac:dyDescent="0.45">
      <c r="A123" s="83"/>
      <c r="B123" s="84"/>
      <c r="C123" s="84"/>
      <c r="D123" s="84"/>
      <c r="E123" s="51"/>
      <c r="F123" s="84"/>
      <c r="G123" s="85"/>
      <c r="H123" s="86"/>
      <c r="I123" s="87"/>
      <c r="J123" s="88"/>
      <c r="K123" s="89"/>
      <c r="L123" s="89"/>
      <c r="M123" s="90"/>
      <c r="N123" s="91"/>
      <c r="O123" s="92"/>
      <c r="P123" s="93"/>
      <c r="Q123" s="94"/>
      <c r="R123" s="95"/>
      <c r="S123" s="63"/>
      <c r="T123" s="96"/>
      <c r="U123" s="97"/>
      <c r="V123" s="95"/>
      <c r="W123" s="63"/>
      <c r="X123" s="96"/>
      <c r="Y123" s="97"/>
      <c r="Z123" s="95"/>
      <c r="AA123" s="98"/>
      <c r="AB123" s="99"/>
      <c r="AC123" s="100"/>
      <c r="AD123" s="101"/>
      <c r="AE123" s="102"/>
      <c r="AF123" s="103"/>
      <c r="AG123" s="104"/>
      <c r="AH123" s="105"/>
      <c r="AI123" s="106"/>
      <c r="AJ123" s="104"/>
      <c r="AK123" s="105"/>
      <c r="AL123" s="106"/>
      <c r="AM123" s="104"/>
      <c r="AN123" s="105"/>
      <c r="AO123" s="106"/>
      <c r="AP123" s="107"/>
      <c r="AQ123" s="108"/>
      <c r="AR123" s="108"/>
      <c r="AS123" s="108"/>
    </row>
    <row r="124" spans="1:45" ht="18" customHeight="1" x14ac:dyDescent="0.45">
      <c r="A124" s="83"/>
      <c r="B124" s="46"/>
      <c r="C124" s="46"/>
      <c r="D124" s="46"/>
      <c r="E124" s="109"/>
      <c r="F124" s="46"/>
      <c r="G124" s="110"/>
      <c r="H124" s="111"/>
      <c r="I124" s="112"/>
      <c r="J124" s="113"/>
      <c r="K124" s="114"/>
      <c r="L124" s="114"/>
      <c r="M124" s="115"/>
      <c r="N124" s="116"/>
      <c r="O124" s="117"/>
      <c r="P124" s="118"/>
      <c r="Q124" s="119"/>
      <c r="R124" s="120"/>
      <c r="S124" s="68"/>
      <c r="T124" s="121"/>
      <c r="U124" s="122"/>
      <c r="V124" s="120"/>
      <c r="W124" s="68"/>
      <c r="X124" s="121"/>
      <c r="Y124" s="122"/>
      <c r="Z124" s="120"/>
      <c r="AA124" s="123"/>
      <c r="AB124" s="124"/>
      <c r="AC124" s="100"/>
      <c r="AD124" s="125"/>
      <c r="AE124" s="126"/>
      <c r="AF124" s="127"/>
      <c r="AG124" s="128"/>
      <c r="AH124" s="129"/>
      <c r="AI124" s="130"/>
      <c r="AJ124" s="128"/>
      <c r="AK124" s="129"/>
      <c r="AL124" s="130"/>
      <c r="AM124" s="128"/>
      <c r="AN124" s="129"/>
      <c r="AO124" s="130"/>
      <c r="AP124" s="107"/>
      <c r="AQ124" s="131"/>
      <c r="AR124" s="131"/>
      <c r="AS124" s="131"/>
    </row>
    <row r="125" spans="1:45" ht="18" customHeight="1" x14ac:dyDescent="0.45">
      <c r="A125" s="83"/>
      <c r="B125" s="84"/>
      <c r="C125" s="84"/>
      <c r="D125" s="84"/>
      <c r="E125" s="51"/>
      <c r="F125" s="84"/>
      <c r="G125" s="85"/>
      <c r="H125" s="86"/>
      <c r="I125" s="87"/>
      <c r="J125" s="88"/>
      <c r="K125" s="89"/>
      <c r="L125" s="89"/>
      <c r="M125" s="90"/>
      <c r="N125" s="91"/>
      <c r="O125" s="92"/>
      <c r="P125" s="93"/>
      <c r="Q125" s="94"/>
      <c r="R125" s="95"/>
      <c r="S125" s="63"/>
      <c r="T125" s="96"/>
      <c r="U125" s="97"/>
      <c r="V125" s="95"/>
      <c r="W125" s="63"/>
      <c r="X125" s="96"/>
      <c r="Y125" s="97"/>
      <c r="Z125" s="95"/>
      <c r="AA125" s="98"/>
      <c r="AB125" s="99"/>
      <c r="AC125" s="100"/>
      <c r="AD125" s="101"/>
      <c r="AE125" s="102"/>
      <c r="AF125" s="103"/>
      <c r="AG125" s="104"/>
      <c r="AH125" s="105"/>
      <c r="AI125" s="106"/>
      <c r="AJ125" s="104"/>
      <c r="AK125" s="105"/>
      <c r="AL125" s="106"/>
      <c r="AM125" s="104"/>
      <c r="AN125" s="105"/>
      <c r="AO125" s="106"/>
      <c r="AP125" s="107"/>
      <c r="AQ125" s="108"/>
      <c r="AR125" s="108"/>
      <c r="AS125" s="108"/>
    </row>
    <row r="126" spans="1:45" ht="18" customHeight="1" x14ac:dyDescent="0.45">
      <c r="A126" s="83"/>
      <c r="B126" s="46"/>
      <c r="C126" s="46"/>
      <c r="D126" s="46"/>
      <c r="E126" s="109"/>
      <c r="F126" s="46"/>
      <c r="G126" s="110"/>
      <c r="H126" s="111"/>
      <c r="I126" s="112"/>
      <c r="J126" s="113"/>
      <c r="K126" s="114"/>
      <c r="L126" s="114"/>
      <c r="M126" s="115"/>
      <c r="N126" s="116"/>
      <c r="O126" s="117"/>
      <c r="P126" s="118"/>
      <c r="Q126" s="119"/>
      <c r="R126" s="120"/>
      <c r="S126" s="68"/>
      <c r="T126" s="121"/>
      <c r="U126" s="122"/>
      <c r="V126" s="120"/>
      <c r="W126" s="68"/>
      <c r="X126" s="121"/>
      <c r="Y126" s="122"/>
      <c r="Z126" s="120"/>
      <c r="AA126" s="123"/>
      <c r="AB126" s="124"/>
      <c r="AC126" s="100"/>
      <c r="AD126" s="125"/>
      <c r="AE126" s="126"/>
      <c r="AF126" s="127"/>
      <c r="AG126" s="128"/>
      <c r="AH126" s="129"/>
      <c r="AI126" s="130"/>
      <c r="AJ126" s="128"/>
      <c r="AK126" s="129"/>
      <c r="AL126" s="130"/>
      <c r="AM126" s="128"/>
      <c r="AN126" s="129"/>
      <c r="AO126" s="130"/>
      <c r="AP126" s="107"/>
      <c r="AQ126" s="131"/>
      <c r="AR126" s="131"/>
      <c r="AS126" s="131"/>
    </row>
    <row r="127" spans="1:45" ht="18" customHeight="1" x14ac:dyDescent="0.45">
      <c r="A127" s="83"/>
      <c r="B127" s="84"/>
      <c r="C127" s="84"/>
      <c r="D127" s="84"/>
      <c r="E127" s="51"/>
      <c r="F127" s="84"/>
      <c r="G127" s="85"/>
      <c r="H127" s="86"/>
      <c r="I127" s="87"/>
      <c r="J127" s="88"/>
      <c r="K127" s="89"/>
      <c r="L127" s="89"/>
      <c r="M127" s="90"/>
      <c r="N127" s="91"/>
      <c r="O127" s="92"/>
      <c r="P127" s="93"/>
      <c r="Q127" s="94"/>
      <c r="R127" s="95"/>
      <c r="S127" s="63"/>
      <c r="T127" s="96"/>
      <c r="U127" s="97"/>
      <c r="V127" s="95"/>
      <c r="W127" s="63"/>
      <c r="X127" s="96"/>
      <c r="Y127" s="97"/>
      <c r="Z127" s="95"/>
      <c r="AA127" s="98"/>
      <c r="AB127" s="99"/>
      <c r="AC127" s="100"/>
      <c r="AD127" s="101"/>
      <c r="AE127" s="102"/>
      <c r="AF127" s="103"/>
      <c r="AG127" s="104"/>
      <c r="AH127" s="105"/>
      <c r="AI127" s="106"/>
      <c r="AJ127" s="104"/>
      <c r="AK127" s="105"/>
      <c r="AL127" s="106"/>
      <c r="AM127" s="104"/>
      <c r="AN127" s="105"/>
      <c r="AO127" s="106"/>
      <c r="AP127" s="107"/>
      <c r="AQ127" s="108"/>
      <c r="AR127" s="108"/>
      <c r="AS127" s="108"/>
    </row>
    <row r="128" spans="1:45" ht="18" customHeight="1" x14ac:dyDescent="0.45">
      <c r="A128" s="83"/>
      <c r="B128" s="46"/>
      <c r="C128" s="46"/>
      <c r="D128" s="46"/>
      <c r="E128" s="109"/>
      <c r="F128" s="46"/>
      <c r="G128" s="110"/>
      <c r="H128" s="111"/>
      <c r="I128" s="112"/>
      <c r="J128" s="113"/>
      <c r="K128" s="114"/>
      <c r="L128" s="114"/>
      <c r="M128" s="115"/>
      <c r="N128" s="116"/>
      <c r="O128" s="117"/>
      <c r="P128" s="118"/>
      <c r="Q128" s="119"/>
      <c r="R128" s="120"/>
      <c r="S128" s="68"/>
      <c r="T128" s="121"/>
      <c r="U128" s="122"/>
      <c r="V128" s="120"/>
      <c r="W128" s="68"/>
      <c r="X128" s="121"/>
      <c r="Y128" s="122"/>
      <c r="Z128" s="120"/>
      <c r="AA128" s="123"/>
      <c r="AB128" s="124"/>
      <c r="AC128" s="100"/>
      <c r="AD128" s="125"/>
      <c r="AE128" s="126"/>
      <c r="AF128" s="127"/>
      <c r="AG128" s="128"/>
      <c r="AH128" s="129"/>
      <c r="AI128" s="130"/>
      <c r="AJ128" s="128"/>
      <c r="AK128" s="129"/>
      <c r="AL128" s="130"/>
      <c r="AM128" s="128"/>
      <c r="AN128" s="129"/>
      <c r="AO128" s="130"/>
      <c r="AP128" s="107"/>
      <c r="AQ128" s="131"/>
      <c r="AR128" s="131"/>
      <c r="AS128" s="131"/>
    </row>
    <row r="129" spans="1:45" ht="18" customHeight="1" x14ac:dyDescent="0.45">
      <c r="A129" s="83"/>
      <c r="B129" s="84"/>
      <c r="C129" s="84"/>
      <c r="D129" s="84"/>
      <c r="E129" s="51"/>
      <c r="F129" s="84"/>
      <c r="G129" s="85"/>
      <c r="H129" s="86"/>
      <c r="I129" s="87"/>
      <c r="J129" s="88"/>
      <c r="K129" s="89"/>
      <c r="L129" s="89"/>
      <c r="M129" s="90"/>
      <c r="N129" s="91"/>
      <c r="O129" s="92"/>
      <c r="P129" s="93"/>
      <c r="Q129" s="94"/>
      <c r="R129" s="95"/>
      <c r="S129" s="63"/>
      <c r="T129" s="96"/>
      <c r="U129" s="97"/>
      <c r="V129" s="95"/>
      <c r="W129" s="63"/>
      <c r="X129" s="96"/>
      <c r="Y129" s="97"/>
      <c r="Z129" s="95"/>
      <c r="AA129" s="98"/>
      <c r="AB129" s="99"/>
      <c r="AC129" s="100"/>
      <c r="AD129" s="101"/>
      <c r="AE129" s="102"/>
      <c r="AF129" s="103"/>
      <c r="AG129" s="104"/>
      <c r="AH129" s="105"/>
      <c r="AI129" s="106"/>
      <c r="AJ129" s="104"/>
      <c r="AK129" s="105"/>
      <c r="AL129" s="106"/>
      <c r="AM129" s="104"/>
      <c r="AN129" s="105"/>
      <c r="AO129" s="106"/>
      <c r="AP129" s="107"/>
      <c r="AQ129" s="108"/>
      <c r="AR129" s="108"/>
      <c r="AS129" s="108"/>
    </row>
    <row r="130" spans="1:45" ht="18" customHeight="1" x14ac:dyDescent="0.45">
      <c r="A130" s="83"/>
      <c r="B130" s="46"/>
      <c r="C130" s="46"/>
      <c r="D130" s="46"/>
      <c r="E130" s="109"/>
      <c r="F130" s="46"/>
      <c r="G130" s="110"/>
      <c r="H130" s="111"/>
      <c r="I130" s="112"/>
      <c r="J130" s="113"/>
      <c r="K130" s="114"/>
      <c r="L130" s="114"/>
      <c r="M130" s="115"/>
      <c r="N130" s="116"/>
      <c r="O130" s="117"/>
      <c r="P130" s="118"/>
      <c r="Q130" s="119"/>
      <c r="R130" s="120"/>
      <c r="S130" s="68"/>
      <c r="T130" s="121"/>
      <c r="U130" s="122"/>
      <c r="V130" s="120"/>
      <c r="W130" s="68"/>
      <c r="X130" s="121"/>
      <c r="Y130" s="122"/>
      <c r="Z130" s="120"/>
      <c r="AA130" s="123"/>
      <c r="AB130" s="124"/>
      <c r="AC130" s="100"/>
      <c r="AD130" s="125"/>
      <c r="AE130" s="126"/>
      <c r="AF130" s="127"/>
      <c r="AG130" s="128"/>
      <c r="AH130" s="129"/>
      <c r="AI130" s="130"/>
      <c r="AJ130" s="128"/>
      <c r="AK130" s="129"/>
      <c r="AL130" s="130"/>
      <c r="AM130" s="128"/>
      <c r="AN130" s="129"/>
      <c r="AO130" s="130"/>
      <c r="AP130" s="107"/>
      <c r="AQ130" s="131"/>
      <c r="AR130" s="131"/>
      <c r="AS130" s="131"/>
    </row>
    <row r="131" spans="1:45" ht="18" customHeight="1" x14ac:dyDescent="0.45">
      <c r="A131" s="83"/>
      <c r="B131" s="84"/>
      <c r="C131" s="84"/>
      <c r="D131" s="84"/>
      <c r="E131" s="51"/>
      <c r="F131" s="84"/>
      <c r="G131" s="85"/>
      <c r="H131" s="86"/>
      <c r="I131" s="87"/>
      <c r="J131" s="88"/>
      <c r="K131" s="89"/>
      <c r="L131" s="89"/>
      <c r="M131" s="90"/>
      <c r="N131" s="91"/>
      <c r="O131" s="92"/>
      <c r="P131" s="93"/>
      <c r="Q131" s="94"/>
      <c r="R131" s="95"/>
      <c r="S131" s="63"/>
      <c r="T131" s="96"/>
      <c r="U131" s="97"/>
      <c r="V131" s="95"/>
      <c r="W131" s="63"/>
      <c r="X131" s="96"/>
      <c r="Y131" s="97"/>
      <c r="Z131" s="95"/>
      <c r="AA131" s="98"/>
      <c r="AB131" s="99"/>
      <c r="AC131" s="100"/>
      <c r="AD131" s="101"/>
      <c r="AE131" s="102"/>
      <c r="AF131" s="103"/>
      <c r="AG131" s="104"/>
      <c r="AH131" s="105"/>
      <c r="AI131" s="106"/>
      <c r="AJ131" s="104"/>
      <c r="AK131" s="105"/>
      <c r="AL131" s="106"/>
      <c r="AM131" s="104"/>
      <c r="AN131" s="105"/>
      <c r="AO131" s="106"/>
      <c r="AP131" s="107"/>
      <c r="AQ131" s="108"/>
      <c r="AR131" s="108"/>
      <c r="AS131" s="108"/>
    </row>
    <row r="132" spans="1:45" ht="18" customHeight="1" x14ac:dyDescent="0.45">
      <c r="A132" s="83"/>
      <c r="B132" s="46"/>
      <c r="C132" s="46"/>
      <c r="D132" s="46"/>
      <c r="E132" s="109"/>
      <c r="F132" s="46"/>
      <c r="G132" s="110"/>
      <c r="H132" s="111"/>
      <c r="I132" s="112"/>
      <c r="J132" s="113"/>
      <c r="K132" s="114"/>
      <c r="L132" s="114"/>
      <c r="M132" s="115"/>
      <c r="N132" s="116"/>
      <c r="O132" s="117"/>
      <c r="P132" s="118"/>
      <c r="Q132" s="119"/>
      <c r="R132" s="120"/>
      <c r="S132" s="68"/>
      <c r="T132" s="121"/>
      <c r="U132" s="122"/>
      <c r="V132" s="120"/>
      <c r="W132" s="68"/>
      <c r="X132" s="121"/>
      <c r="Y132" s="122"/>
      <c r="Z132" s="120"/>
      <c r="AA132" s="123"/>
      <c r="AB132" s="124"/>
      <c r="AC132" s="100"/>
      <c r="AD132" s="125"/>
      <c r="AE132" s="126"/>
      <c r="AF132" s="127"/>
      <c r="AG132" s="128"/>
      <c r="AH132" s="129"/>
      <c r="AI132" s="130"/>
      <c r="AJ132" s="128"/>
      <c r="AK132" s="129"/>
      <c r="AL132" s="130"/>
      <c r="AM132" s="128"/>
      <c r="AN132" s="129"/>
      <c r="AO132" s="130"/>
      <c r="AP132" s="107"/>
      <c r="AQ132" s="131"/>
      <c r="AR132" s="131"/>
      <c r="AS132" s="131"/>
    </row>
    <row r="133" spans="1:45" ht="18" customHeight="1" x14ac:dyDescent="0.45">
      <c r="A133" s="83"/>
      <c r="B133" s="84"/>
      <c r="C133" s="84"/>
      <c r="D133" s="84"/>
      <c r="E133" s="51"/>
      <c r="F133" s="84"/>
      <c r="G133" s="85"/>
      <c r="H133" s="86"/>
      <c r="I133" s="87"/>
      <c r="J133" s="88"/>
      <c r="K133" s="89"/>
      <c r="L133" s="89"/>
      <c r="M133" s="90"/>
      <c r="N133" s="91"/>
      <c r="O133" s="92"/>
      <c r="P133" s="93"/>
      <c r="Q133" s="94"/>
      <c r="R133" s="95"/>
      <c r="S133" s="63"/>
      <c r="T133" s="96"/>
      <c r="U133" s="97"/>
      <c r="V133" s="95"/>
      <c r="W133" s="63"/>
      <c r="X133" s="96"/>
      <c r="Y133" s="97"/>
      <c r="Z133" s="95"/>
      <c r="AA133" s="98"/>
      <c r="AB133" s="99"/>
      <c r="AC133" s="100"/>
      <c r="AD133" s="101"/>
      <c r="AE133" s="102"/>
      <c r="AF133" s="103"/>
      <c r="AG133" s="104"/>
      <c r="AH133" s="105"/>
      <c r="AI133" s="106"/>
      <c r="AJ133" s="104"/>
      <c r="AK133" s="105"/>
      <c r="AL133" s="106"/>
      <c r="AM133" s="104"/>
      <c r="AN133" s="105"/>
      <c r="AO133" s="106"/>
      <c r="AP133" s="107"/>
      <c r="AQ133" s="108"/>
      <c r="AR133" s="108"/>
      <c r="AS133" s="108"/>
    </row>
    <row r="134" spans="1:45" ht="18" customHeight="1" x14ac:dyDescent="0.45">
      <c r="A134" s="83"/>
      <c r="B134" s="46"/>
      <c r="C134" s="46"/>
      <c r="D134" s="46"/>
      <c r="E134" s="109"/>
      <c r="F134" s="46"/>
      <c r="G134" s="110"/>
      <c r="H134" s="111"/>
      <c r="I134" s="112"/>
      <c r="J134" s="113"/>
      <c r="K134" s="114"/>
      <c r="L134" s="114"/>
      <c r="M134" s="115"/>
      <c r="N134" s="116"/>
      <c r="O134" s="117"/>
      <c r="P134" s="118"/>
      <c r="Q134" s="119"/>
      <c r="R134" s="120"/>
      <c r="S134" s="68"/>
      <c r="T134" s="121"/>
      <c r="U134" s="122"/>
      <c r="V134" s="120"/>
      <c r="W134" s="68"/>
      <c r="X134" s="121"/>
      <c r="Y134" s="122"/>
      <c r="Z134" s="120"/>
      <c r="AA134" s="123"/>
      <c r="AB134" s="124"/>
      <c r="AC134" s="100"/>
      <c r="AD134" s="125"/>
      <c r="AE134" s="126"/>
      <c r="AF134" s="127"/>
      <c r="AG134" s="128"/>
      <c r="AH134" s="129"/>
      <c r="AI134" s="130"/>
      <c r="AJ134" s="128"/>
      <c r="AK134" s="129"/>
      <c r="AL134" s="130"/>
      <c r="AM134" s="128"/>
      <c r="AN134" s="129"/>
      <c r="AO134" s="130"/>
      <c r="AP134" s="107"/>
      <c r="AQ134" s="131"/>
      <c r="AR134" s="131"/>
      <c r="AS134" s="131"/>
    </row>
    <row r="135" spans="1:45" ht="18" customHeight="1" x14ac:dyDescent="0.45">
      <c r="A135" s="83"/>
      <c r="B135" s="84"/>
      <c r="C135" s="84"/>
      <c r="D135" s="84"/>
      <c r="E135" s="51"/>
      <c r="F135" s="84"/>
      <c r="G135" s="85"/>
      <c r="H135" s="86"/>
      <c r="I135" s="87"/>
      <c r="J135" s="88"/>
      <c r="K135" s="89"/>
      <c r="L135" s="89"/>
      <c r="M135" s="90"/>
      <c r="N135" s="91"/>
      <c r="O135" s="92"/>
      <c r="P135" s="93"/>
      <c r="Q135" s="94"/>
      <c r="R135" s="95"/>
      <c r="S135" s="63"/>
      <c r="T135" s="96"/>
      <c r="U135" s="97"/>
      <c r="V135" s="95"/>
      <c r="W135" s="63"/>
      <c r="X135" s="96"/>
      <c r="Y135" s="97"/>
      <c r="Z135" s="95"/>
      <c r="AA135" s="98"/>
      <c r="AB135" s="99"/>
      <c r="AC135" s="100"/>
      <c r="AD135" s="101"/>
      <c r="AE135" s="102"/>
      <c r="AF135" s="103"/>
      <c r="AG135" s="104"/>
      <c r="AH135" s="105"/>
      <c r="AI135" s="106"/>
      <c r="AJ135" s="104"/>
      <c r="AK135" s="105"/>
      <c r="AL135" s="106"/>
      <c r="AM135" s="104"/>
      <c r="AN135" s="105"/>
      <c r="AO135" s="106"/>
      <c r="AP135" s="107"/>
      <c r="AQ135" s="108"/>
      <c r="AR135" s="108"/>
      <c r="AS135" s="108"/>
    </row>
    <row r="136" spans="1:45" ht="18" customHeight="1" x14ac:dyDescent="0.45">
      <c r="A136" s="83"/>
      <c r="B136" s="46"/>
      <c r="C136" s="46"/>
      <c r="D136" s="46"/>
      <c r="E136" s="109"/>
      <c r="F136" s="46"/>
      <c r="G136" s="110"/>
      <c r="H136" s="111"/>
      <c r="I136" s="112"/>
      <c r="J136" s="113"/>
      <c r="K136" s="114"/>
      <c r="L136" s="114"/>
      <c r="M136" s="115"/>
      <c r="N136" s="116"/>
      <c r="O136" s="117"/>
      <c r="P136" s="118"/>
      <c r="Q136" s="119"/>
      <c r="R136" s="120"/>
      <c r="S136" s="68"/>
      <c r="T136" s="121"/>
      <c r="U136" s="122"/>
      <c r="V136" s="120"/>
      <c r="W136" s="68"/>
      <c r="X136" s="121"/>
      <c r="Y136" s="122"/>
      <c r="Z136" s="120"/>
      <c r="AA136" s="123"/>
      <c r="AB136" s="124"/>
      <c r="AC136" s="100"/>
      <c r="AD136" s="125"/>
      <c r="AE136" s="126"/>
      <c r="AF136" s="127"/>
      <c r="AG136" s="128"/>
      <c r="AH136" s="129"/>
      <c r="AI136" s="130"/>
      <c r="AJ136" s="128"/>
      <c r="AK136" s="129"/>
      <c r="AL136" s="130"/>
      <c r="AM136" s="128"/>
      <c r="AN136" s="129"/>
      <c r="AO136" s="130"/>
      <c r="AP136" s="107"/>
      <c r="AQ136" s="131"/>
      <c r="AR136" s="131"/>
      <c r="AS136" s="131"/>
    </row>
    <row r="137" spans="1:45" ht="18" customHeight="1" x14ac:dyDescent="0.45">
      <c r="A137" s="83"/>
      <c r="B137" s="84"/>
      <c r="C137" s="84"/>
      <c r="D137" s="84"/>
      <c r="E137" s="51"/>
      <c r="F137" s="84"/>
      <c r="G137" s="85"/>
      <c r="H137" s="86"/>
      <c r="I137" s="87"/>
      <c r="J137" s="88"/>
      <c r="K137" s="89"/>
      <c r="L137" s="89"/>
      <c r="M137" s="90"/>
      <c r="N137" s="91"/>
      <c r="O137" s="92"/>
      <c r="P137" s="93"/>
      <c r="Q137" s="94"/>
      <c r="R137" s="95"/>
      <c r="S137" s="63"/>
      <c r="T137" s="96"/>
      <c r="U137" s="97"/>
      <c r="V137" s="95"/>
      <c r="W137" s="63"/>
      <c r="X137" s="96"/>
      <c r="Y137" s="97"/>
      <c r="Z137" s="95"/>
      <c r="AA137" s="98"/>
      <c r="AB137" s="99"/>
      <c r="AC137" s="100"/>
      <c r="AD137" s="101"/>
      <c r="AE137" s="102"/>
      <c r="AF137" s="103"/>
      <c r="AG137" s="104"/>
      <c r="AH137" s="105"/>
      <c r="AI137" s="106"/>
      <c r="AJ137" s="104"/>
      <c r="AK137" s="105"/>
      <c r="AL137" s="106"/>
      <c r="AM137" s="104"/>
      <c r="AN137" s="105"/>
      <c r="AO137" s="106"/>
      <c r="AP137" s="107"/>
      <c r="AQ137" s="108"/>
      <c r="AR137" s="108"/>
      <c r="AS137" s="108"/>
    </row>
    <row r="138" spans="1:45" ht="18" customHeight="1" x14ac:dyDescent="0.45">
      <c r="A138" s="83"/>
      <c r="B138" s="46"/>
      <c r="C138" s="46"/>
      <c r="D138" s="46"/>
      <c r="E138" s="109"/>
      <c r="F138" s="46"/>
      <c r="G138" s="110"/>
      <c r="H138" s="111"/>
      <c r="I138" s="112"/>
      <c r="J138" s="113"/>
      <c r="K138" s="114"/>
      <c r="L138" s="114"/>
      <c r="M138" s="115"/>
      <c r="N138" s="116"/>
      <c r="O138" s="117"/>
      <c r="P138" s="118"/>
      <c r="Q138" s="119"/>
      <c r="R138" s="120"/>
      <c r="S138" s="68"/>
      <c r="T138" s="121"/>
      <c r="U138" s="122"/>
      <c r="V138" s="120"/>
      <c r="W138" s="68"/>
      <c r="X138" s="121"/>
      <c r="Y138" s="122"/>
      <c r="Z138" s="120"/>
      <c r="AA138" s="123"/>
      <c r="AB138" s="124"/>
      <c r="AC138" s="100"/>
      <c r="AD138" s="125"/>
      <c r="AE138" s="126"/>
      <c r="AF138" s="127"/>
      <c r="AG138" s="128"/>
      <c r="AH138" s="129"/>
      <c r="AI138" s="130"/>
      <c r="AJ138" s="128"/>
      <c r="AK138" s="129"/>
      <c r="AL138" s="130"/>
      <c r="AM138" s="128"/>
      <c r="AN138" s="129"/>
      <c r="AO138" s="130"/>
      <c r="AP138" s="107"/>
      <c r="AQ138" s="131"/>
      <c r="AR138" s="131"/>
      <c r="AS138" s="131"/>
    </row>
    <row r="139" spans="1:45" ht="18" customHeight="1" x14ac:dyDescent="0.45">
      <c r="A139" s="83"/>
      <c r="B139" s="84"/>
      <c r="C139" s="84"/>
      <c r="D139" s="84"/>
      <c r="E139" s="51"/>
      <c r="F139" s="84"/>
      <c r="G139" s="85"/>
      <c r="H139" s="86"/>
      <c r="I139" s="87"/>
      <c r="J139" s="88"/>
      <c r="K139" s="89"/>
      <c r="L139" s="89"/>
      <c r="M139" s="90"/>
      <c r="N139" s="91"/>
      <c r="O139" s="92"/>
      <c r="P139" s="93"/>
      <c r="Q139" s="94"/>
      <c r="R139" s="95"/>
      <c r="S139" s="63"/>
      <c r="T139" s="96"/>
      <c r="U139" s="97"/>
      <c r="V139" s="95"/>
      <c r="W139" s="63"/>
      <c r="X139" s="96"/>
      <c r="Y139" s="97"/>
      <c r="Z139" s="95"/>
      <c r="AA139" s="98"/>
      <c r="AB139" s="99"/>
      <c r="AC139" s="100"/>
      <c r="AD139" s="101"/>
      <c r="AE139" s="102"/>
      <c r="AF139" s="103"/>
      <c r="AG139" s="104"/>
      <c r="AH139" s="105"/>
      <c r="AI139" s="106"/>
      <c r="AJ139" s="104"/>
      <c r="AK139" s="105"/>
      <c r="AL139" s="106"/>
      <c r="AM139" s="104"/>
      <c r="AN139" s="105"/>
      <c r="AO139" s="106"/>
      <c r="AP139" s="107"/>
      <c r="AQ139" s="108"/>
      <c r="AR139" s="108"/>
      <c r="AS139" s="108"/>
    </row>
    <row r="140" spans="1:45" ht="18" customHeight="1" x14ac:dyDescent="0.45">
      <c r="A140" s="83"/>
      <c r="B140" s="46"/>
      <c r="C140" s="46"/>
      <c r="D140" s="46"/>
      <c r="E140" s="109"/>
      <c r="F140" s="46"/>
      <c r="G140" s="110"/>
      <c r="H140" s="111"/>
      <c r="I140" s="112"/>
      <c r="J140" s="113"/>
      <c r="K140" s="114"/>
      <c r="L140" s="114"/>
      <c r="M140" s="115"/>
      <c r="N140" s="116"/>
      <c r="O140" s="117"/>
      <c r="P140" s="118"/>
      <c r="Q140" s="119"/>
      <c r="R140" s="120"/>
      <c r="S140" s="68"/>
      <c r="T140" s="121"/>
      <c r="U140" s="122"/>
      <c r="V140" s="120"/>
      <c r="W140" s="68"/>
      <c r="X140" s="121"/>
      <c r="Y140" s="122"/>
      <c r="Z140" s="120"/>
      <c r="AA140" s="123"/>
      <c r="AB140" s="124"/>
      <c r="AC140" s="100"/>
      <c r="AD140" s="125"/>
      <c r="AE140" s="126"/>
      <c r="AF140" s="127"/>
      <c r="AG140" s="128"/>
      <c r="AH140" s="129"/>
      <c r="AI140" s="130"/>
      <c r="AJ140" s="128"/>
      <c r="AK140" s="129"/>
      <c r="AL140" s="130"/>
      <c r="AM140" s="128"/>
      <c r="AN140" s="129"/>
      <c r="AO140" s="130"/>
      <c r="AP140" s="107"/>
      <c r="AQ140" s="131"/>
      <c r="AR140" s="131"/>
      <c r="AS140" s="131"/>
    </row>
    <row r="141" spans="1:45" ht="18" customHeight="1" x14ac:dyDescent="0.45">
      <c r="A141" s="83"/>
      <c r="B141" s="46"/>
      <c r="C141" s="46"/>
      <c r="D141" s="46"/>
      <c r="E141" s="109"/>
      <c r="F141" s="46"/>
      <c r="G141" s="110"/>
      <c r="H141" s="111"/>
      <c r="I141" s="112"/>
      <c r="J141" s="113"/>
      <c r="K141" s="114"/>
      <c r="L141" s="114"/>
      <c r="M141" s="115"/>
      <c r="N141" s="116"/>
      <c r="O141" s="117"/>
      <c r="P141" s="118"/>
      <c r="Q141" s="119"/>
      <c r="R141" s="120"/>
      <c r="S141" s="68"/>
      <c r="T141" s="121"/>
      <c r="U141" s="122"/>
      <c r="V141" s="120"/>
      <c r="W141" s="68"/>
      <c r="X141" s="121"/>
      <c r="Y141" s="122"/>
      <c r="Z141" s="120"/>
      <c r="AA141" s="123"/>
      <c r="AB141" s="124"/>
      <c r="AC141" s="100"/>
      <c r="AD141" s="125"/>
      <c r="AE141" s="126"/>
      <c r="AF141" s="127"/>
      <c r="AG141" s="128"/>
      <c r="AH141" s="129"/>
      <c r="AI141" s="130"/>
      <c r="AJ141" s="128"/>
      <c r="AK141" s="129"/>
      <c r="AL141" s="130"/>
      <c r="AM141" s="128"/>
      <c r="AN141" s="129"/>
      <c r="AO141" s="130"/>
      <c r="AP141" s="107"/>
      <c r="AQ141" s="131"/>
      <c r="AR141" s="131"/>
      <c r="AS141" s="131"/>
    </row>
    <row r="142" spans="1:45" ht="18" customHeight="1" x14ac:dyDescent="0.45">
      <c r="A142" s="83"/>
      <c r="B142" s="84"/>
      <c r="C142" s="84"/>
      <c r="D142" s="84"/>
      <c r="E142" s="51"/>
      <c r="F142" s="84"/>
      <c r="G142" s="85"/>
      <c r="H142" s="86"/>
      <c r="I142" s="87"/>
      <c r="J142" s="88"/>
      <c r="K142" s="89"/>
      <c r="L142" s="89"/>
      <c r="M142" s="90"/>
      <c r="N142" s="91"/>
      <c r="O142" s="92"/>
      <c r="P142" s="93"/>
      <c r="Q142" s="94"/>
      <c r="R142" s="95"/>
      <c r="S142" s="63"/>
      <c r="T142" s="96"/>
      <c r="U142" s="97"/>
      <c r="V142" s="95"/>
      <c r="W142" s="63"/>
      <c r="X142" s="96"/>
      <c r="Y142" s="97"/>
      <c r="Z142" s="95"/>
      <c r="AA142" s="98"/>
      <c r="AB142" s="99"/>
      <c r="AC142" s="100"/>
      <c r="AD142" s="101"/>
      <c r="AE142" s="102"/>
      <c r="AF142" s="103"/>
      <c r="AG142" s="104"/>
      <c r="AH142" s="105"/>
      <c r="AI142" s="106"/>
      <c r="AJ142" s="104"/>
      <c r="AK142" s="105"/>
      <c r="AL142" s="106"/>
      <c r="AM142" s="104"/>
      <c r="AN142" s="105"/>
      <c r="AO142" s="106"/>
      <c r="AP142" s="107"/>
      <c r="AQ142" s="108"/>
      <c r="AR142" s="108"/>
      <c r="AS142" s="108"/>
    </row>
    <row r="143" spans="1:45" ht="18" customHeight="1" x14ac:dyDescent="0.45">
      <c r="A143" s="83"/>
      <c r="B143" s="46"/>
      <c r="C143" s="46"/>
      <c r="D143" s="46"/>
      <c r="E143" s="109"/>
      <c r="F143" s="46"/>
      <c r="G143" s="110"/>
      <c r="H143" s="111"/>
      <c r="I143" s="112"/>
      <c r="J143" s="113"/>
      <c r="K143" s="114"/>
      <c r="L143" s="114"/>
      <c r="M143" s="115"/>
      <c r="N143" s="116"/>
      <c r="O143" s="117"/>
      <c r="P143" s="118"/>
      <c r="Q143" s="119"/>
      <c r="R143" s="120"/>
      <c r="S143" s="68"/>
      <c r="T143" s="121"/>
      <c r="U143" s="122"/>
      <c r="V143" s="120"/>
      <c r="W143" s="68"/>
      <c r="X143" s="121"/>
      <c r="Y143" s="122"/>
      <c r="Z143" s="120"/>
      <c r="AA143" s="123"/>
      <c r="AB143" s="124"/>
      <c r="AC143" s="100"/>
      <c r="AD143" s="125"/>
      <c r="AE143" s="126"/>
      <c r="AF143" s="127"/>
      <c r="AG143" s="128"/>
      <c r="AH143" s="129"/>
      <c r="AI143" s="130"/>
      <c r="AJ143" s="128"/>
      <c r="AK143" s="129"/>
      <c r="AL143" s="130"/>
      <c r="AM143" s="128"/>
      <c r="AN143" s="129"/>
      <c r="AO143" s="130"/>
      <c r="AP143" s="107"/>
      <c r="AQ143" s="131"/>
      <c r="AR143" s="131"/>
      <c r="AS143" s="131"/>
    </row>
    <row r="144" spans="1:45" ht="18" customHeight="1" x14ac:dyDescent="0.45">
      <c r="A144" s="83"/>
      <c r="B144" s="84"/>
      <c r="C144" s="84"/>
      <c r="D144" s="84"/>
      <c r="E144" s="51"/>
      <c r="F144" s="84"/>
      <c r="G144" s="85"/>
      <c r="H144" s="86"/>
      <c r="I144" s="87"/>
      <c r="J144" s="88"/>
      <c r="K144" s="89"/>
      <c r="L144" s="89"/>
      <c r="M144" s="90"/>
      <c r="N144" s="91"/>
      <c r="O144" s="92"/>
      <c r="P144" s="93"/>
      <c r="Q144" s="94"/>
      <c r="R144" s="95"/>
      <c r="S144" s="63"/>
      <c r="T144" s="96"/>
      <c r="U144" s="97"/>
      <c r="V144" s="95"/>
      <c r="W144" s="63"/>
      <c r="X144" s="96"/>
      <c r="Y144" s="97"/>
      <c r="Z144" s="95"/>
      <c r="AA144" s="98"/>
      <c r="AB144" s="99"/>
      <c r="AC144" s="100"/>
      <c r="AD144" s="101"/>
      <c r="AE144" s="102"/>
      <c r="AF144" s="103"/>
      <c r="AG144" s="104"/>
      <c r="AH144" s="105"/>
      <c r="AI144" s="106"/>
      <c r="AJ144" s="104"/>
      <c r="AK144" s="105"/>
      <c r="AL144" s="106"/>
      <c r="AM144" s="104"/>
      <c r="AN144" s="105"/>
      <c r="AO144" s="106"/>
      <c r="AP144" s="107"/>
      <c r="AQ144" s="108"/>
      <c r="AR144" s="108"/>
      <c r="AS144" s="108"/>
    </row>
    <row r="145" spans="1:45" ht="18" customHeight="1" x14ac:dyDescent="0.45">
      <c r="A145" s="83"/>
      <c r="B145" s="46"/>
      <c r="C145" s="46"/>
      <c r="D145" s="46"/>
      <c r="E145" s="109"/>
      <c r="F145" s="46"/>
      <c r="G145" s="110"/>
      <c r="H145" s="111"/>
      <c r="I145" s="112"/>
      <c r="J145" s="113"/>
      <c r="K145" s="114"/>
      <c r="L145" s="114"/>
      <c r="M145" s="115"/>
      <c r="N145" s="116"/>
      <c r="O145" s="117"/>
      <c r="P145" s="118"/>
      <c r="Q145" s="119"/>
      <c r="R145" s="120"/>
      <c r="S145" s="68"/>
      <c r="T145" s="121"/>
      <c r="U145" s="122"/>
      <c r="V145" s="120"/>
      <c r="W145" s="68"/>
      <c r="X145" s="121"/>
      <c r="Y145" s="122"/>
      <c r="Z145" s="120"/>
      <c r="AA145" s="123"/>
      <c r="AB145" s="124"/>
      <c r="AC145" s="100"/>
      <c r="AD145" s="125"/>
      <c r="AE145" s="126"/>
      <c r="AF145" s="127"/>
      <c r="AG145" s="128"/>
      <c r="AH145" s="129"/>
      <c r="AI145" s="130"/>
      <c r="AJ145" s="128"/>
      <c r="AK145" s="129"/>
      <c r="AL145" s="130"/>
      <c r="AM145" s="128"/>
      <c r="AN145" s="129"/>
      <c r="AO145" s="130"/>
      <c r="AP145" s="107"/>
      <c r="AQ145" s="131"/>
      <c r="AR145" s="131"/>
      <c r="AS145" s="131"/>
    </row>
    <row r="146" spans="1:45" ht="18" customHeight="1" x14ac:dyDescent="0.45">
      <c r="A146" s="83"/>
      <c r="B146" s="84"/>
      <c r="C146" s="84"/>
      <c r="D146" s="84"/>
      <c r="E146" s="51"/>
      <c r="F146" s="84"/>
      <c r="G146" s="85"/>
      <c r="H146" s="86"/>
      <c r="I146" s="87"/>
      <c r="J146" s="88"/>
      <c r="K146" s="89"/>
      <c r="L146" s="89"/>
      <c r="M146" s="90"/>
      <c r="N146" s="91"/>
      <c r="O146" s="92"/>
      <c r="P146" s="93"/>
      <c r="Q146" s="94"/>
      <c r="R146" s="95"/>
      <c r="S146" s="63"/>
      <c r="T146" s="96"/>
      <c r="U146" s="97"/>
      <c r="V146" s="95"/>
      <c r="W146" s="63"/>
      <c r="X146" s="96"/>
      <c r="Y146" s="97"/>
      <c r="Z146" s="95"/>
      <c r="AA146" s="98"/>
      <c r="AB146" s="99"/>
      <c r="AC146" s="100"/>
      <c r="AD146" s="101"/>
      <c r="AE146" s="102"/>
      <c r="AF146" s="103"/>
      <c r="AG146" s="104"/>
      <c r="AH146" s="105"/>
      <c r="AI146" s="106"/>
      <c r="AJ146" s="104"/>
      <c r="AK146" s="105"/>
      <c r="AL146" s="106"/>
      <c r="AM146" s="104"/>
      <c r="AN146" s="105"/>
      <c r="AO146" s="106"/>
      <c r="AP146" s="107"/>
      <c r="AQ146" s="108"/>
      <c r="AR146" s="108"/>
      <c r="AS146" s="108"/>
    </row>
    <row r="147" spans="1:45" ht="18" customHeight="1" x14ac:dyDescent="0.45">
      <c r="A147" s="83"/>
      <c r="B147" s="46"/>
      <c r="C147" s="46"/>
      <c r="D147" s="46"/>
      <c r="E147" s="109"/>
      <c r="F147" s="46"/>
      <c r="G147" s="110"/>
      <c r="H147" s="111"/>
      <c r="I147" s="112"/>
      <c r="J147" s="113"/>
      <c r="K147" s="114"/>
      <c r="L147" s="114"/>
      <c r="M147" s="115"/>
      <c r="N147" s="116"/>
      <c r="O147" s="117"/>
      <c r="P147" s="118"/>
      <c r="Q147" s="119"/>
      <c r="R147" s="120"/>
      <c r="S147" s="68"/>
      <c r="T147" s="121"/>
      <c r="U147" s="122"/>
      <c r="V147" s="120"/>
      <c r="W147" s="68"/>
      <c r="X147" s="121"/>
      <c r="Y147" s="122"/>
      <c r="Z147" s="120"/>
      <c r="AA147" s="123"/>
      <c r="AB147" s="124"/>
      <c r="AC147" s="100"/>
      <c r="AD147" s="125"/>
      <c r="AE147" s="126"/>
      <c r="AF147" s="127"/>
      <c r="AG147" s="128"/>
      <c r="AH147" s="129"/>
      <c r="AI147" s="130"/>
      <c r="AJ147" s="128"/>
      <c r="AK147" s="129"/>
      <c r="AL147" s="130"/>
      <c r="AM147" s="128"/>
      <c r="AN147" s="129"/>
      <c r="AO147" s="130"/>
      <c r="AP147" s="107"/>
      <c r="AQ147" s="131"/>
      <c r="AR147" s="131"/>
      <c r="AS147" s="131"/>
    </row>
    <row r="148" spans="1:45" ht="18" customHeight="1" x14ac:dyDescent="0.45">
      <c r="A148" s="83"/>
      <c r="B148" s="84"/>
      <c r="C148" s="84"/>
      <c r="D148" s="84"/>
      <c r="E148" s="51"/>
      <c r="F148" s="84"/>
      <c r="G148" s="85"/>
      <c r="H148" s="86"/>
      <c r="I148" s="87"/>
      <c r="J148" s="88"/>
      <c r="K148" s="89"/>
      <c r="L148" s="89"/>
      <c r="M148" s="90"/>
      <c r="N148" s="91"/>
      <c r="O148" s="92"/>
      <c r="P148" s="93"/>
      <c r="Q148" s="94"/>
      <c r="R148" s="95"/>
      <c r="S148" s="63"/>
      <c r="T148" s="96"/>
      <c r="U148" s="97"/>
      <c r="V148" s="95"/>
      <c r="W148" s="63"/>
      <c r="X148" s="96"/>
      <c r="Y148" s="97"/>
      <c r="Z148" s="95"/>
      <c r="AA148" s="98"/>
      <c r="AB148" s="99"/>
      <c r="AC148" s="100"/>
      <c r="AD148" s="101"/>
      <c r="AE148" s="102"/>
      <c r="AF148" s="103"/>
      <c r="AG148" s="104"/>
      <c r="AH148" s="105"/>
      <c r="AI148" s="106"/>
      <c r="AJ148" s="104"/>
      <c r="AK148" s="105"/>
      <c r="AL148" s="106"/>
      <c r="AM148" s="104"/>
      <c r="AN148" s="105"/>
      <c r="AO148" s="106"/>
      <c r="AP148" s="107"/>
      <c r="AQ148" s="108"/>
      <c r="AR148" s="108"/>
      <c r="AS148" s="108"/>
    </row>
    <row r="149" spans="1:45" ht="18" customHeight="1" x14ac:dyDescent="0.45">
      <c r="A149" s="83"/>
      <c r="B149" s="46"/>
      <c r="C149" s="46"/>
      <c r="D149" s="46"/>
      <c r="E149" s="109"/>
      <c r="F149" s="46"/>
      <c r="G149" s="110"/>
      <c r="H149" s="111"/>
      <c r="I149" s="112"/>
      <c r="J149" s="113"/>
      <c r="K149" s="114"/>
      <c r="L149" s="114"/>
      <c r="M149" s="115"/>
      <c r="N149" s="116"/>
      <c r="O149" s="117"/>
      <c r="P149" s="118"/>
      <c r="Q149" s="119"/>
      <c r="R149" s="120"/>
      <c r="S149" s="68"/>
      <c r="T149" s="121"/>
      <c r="U149" s="122"/>
      <c r="V149" s="120"/>
      <c r="W149" s="68"/>
      <c r="X149" s="121"/>
      <c r="Y149" s="122"/>
      <c r="Z149" s="120"/>
      <c r="AA149" s="123"/>
      <c r="AB149" s="124"/>
      <c r="AC149" s="100"/>
      <c r="AD149" s="125"/>
      <c r="AE149" s="126"/>
      <c r="AF149" s="127"/>
      <c r="AG149" s="128"/>
      <c r="AH149" s="129"/>
      <c r="AI149" s="130"/>
      <c r="AJ149" s="128"/>
      <c r="AK149" s="129"/>
      <c r="AL149" s="130"/>
      <c r="AM149" s="128"/>
      <c r="AN149" s="129"/>
      <c r="AO149" s="130"/>
      <c r="AP149" s="107"/>
      <c r="AQ149" s="131"/>
      <c r="AR149" s="131"/>
      <c r="AS149" s="131"/>
    </row>
    <row r="150" spans="1:45" ht="18" customHeight="1" x14ac:dyDescent="0.45">
      <c r="A150" s="83"/>
      <c r="B150" s="84"/>
      <c r="C150" s="84"/>
      <c r="D150" s="84"/>
      <c r="E150" s="51"/>
      <c r="F150" s="84"/>
      <c r="G150" s="85"/>
      <c r="H150" s="86"/>
      <c r="I150" s="87"/>
      <c r="J150" s="88"/>
      <c r="K150" s="89"/>
      <c r="L150" s="89"/>
      <c r="M150" s="90"/>
      <c r="N150" s="91"/>
      <c r="O150" s="92"/>
      <c r="P150" s="93"/>
      <c r="Q150" s="94"/>
      <c r="R150" s="95"/>
      <c r="S150" s="63"/>
      <c r="T150" s="96"/>
      <c r="U150" s="97"/>
      <c r="V150" s="95"/>
      <c r="W150" s="63"/>
      <c r="X150" s="96"/>
      <c r="Y150" s="97"/>
      <c r="Z150" s="95"/>
      <c r="AA150" s="98"/>
      <c r="AB150" s="99"/>
      <c r="AC150" s="100"/>
      <c r="AD150" s="101"/>
      <c r="AE150" s="47"/>
      <c r="AF150" s="103"/>
      <c r="AG150" s="104"/>
      <c r="AH150" s="105"/>
      <c r="AI150" s="106"/>
      <c r="AJ150" s="104"/>
      <c r="AK150" s="105"/>
      <c r="AL150" s="106"/>
      <c r="AM150" s="104"/>
      <c r="AN150" s="105"/>
      <c r="AO150" s="106"/>
      <c r="AP150" s="107"/>
      <c r="AQ150" s="108"/>
      <c r="AR150" s="108"/>
      <c r="AS150" s="108"/>
    </row>
    <row r="151" spans="1:45" ht="18" customHeight="1" x14ac:dyDescent="0.45">
      <c r="A151" s="83"/>
      <c r="B151" s="46"/>
      <c r="C151" s="46"/>
      <c r="D151" s="46"/>
      <c r="E151" s="109"/>
      <c r="F151" s="46"/>
      <c r="G151" s="110"/>
      <c r="H151" s="111"/>
      <c r="I151" s="112"/>
      <c r="J151" s="113"/>
      <c r="K151" s="114"/>
      <c r="L151" s="114"/>
      <c r="M151" s="115"/>
      <c r="N151" s="116"/>
      <c r="O151" s="117"/>
      <c r="P151" s="118"/>
      <c r="Q151" s="119"/>
      <c r="R151" s="120"/>
      <c r="S151" s="68"/>
      <c r="T151" s="121"/>
      <c r="U151" s="122"/>
      <c r="V151" s="120"/>
      <c r="W151" s="68"/>
      <c r="X151" s="121"/>
      <c r="Y151" s="122"/>
      <c r="Z151" s="120"/>
      <c r="AA151" s="123"/>
      <c r="AB151" s="124"/>
      <c r="AC151" s="132"/>
      <c r="AD151" s="125"/>
      <c r="AE151" s="133"/>
      <c r="AF151" s="127"/>
      <c r="AG151" s="128"/>
      <c r="AH151" s="129"/>
      <c r="AI151" s="130"/>
      <c r="AJ151" s="128"/>
      <c r="AK151" s="129"/>
      <c r="AL151" s="130"/>
      <c r="AM151" s="128"/>
      <c r="AN151" s="129"/>
      <c r="AO151" s="130"/>
      <c r="AP151" s="107"/>
      <c r="AQ151" s="131"/>
      <c r="AR151" s="131"/>
      <c r="AS151" s="131"/>
    </row>
    <row r="152" spans="1:45" ht="18" customHeight="1" x14ac:dyDescent="0.45">
      <c r="A152" s="83"/>
      <c r="B152" s="84"/>
      <c r="C152" s="84"/>
      <c r="D152" s="84"/>
      <c r="E152" s="51"/>
      <c r="F152" s="84"/>
      <c r="G152" s="85"/>
      <c r="H152" s="86"/>
      <c r="I152" s="87"/>
      <c r="J152" s="88"/>
      <c r="K152" s="89"/>
      <c r="L152" s="89"/>
      <c r="M152" s="90"/>
      <c r="N152" s="91"/>
      <c r="O152" s="92"/>
      <c r="P152" s="93"/>
      <c r="Q152" s="94"/>
      <c r="R152" s="95"/>
      <c r="S152" s="63"/>
      <c r="T152" s="96"/>
      <c r="U152" s="97"/>
      <c r="V152" s="95"/>
      <c r="W152" s="63"/>
      <c r="X152" s="96"/>
      <c r="Y152" s="97"/>
      <c r="Z152" s="95"/>
      <c r="AA152" s="98"/>
      <c r="AB152" s="99"/>
      <c r="AC152" s="100"/>
      <c r="AD152" s="101"/>
      <c r="AE152" s="47"/>
      <c r="AF152" s="103"/>
      <c r="AG152" s="104"/>
      <c r="AH152" s="105"/>
      <c r="AI152" s="106"/>
      <c r="AJ152" s="104"/>
      <c r="AK152" s="105"/>
      <c r="AL152" s="106"/>
      <c r="AM152" s="104"/>
      <c r="AN152" s="105"/>
      <c r="AO152" s="106"/>
      <c r="AP152" s="107"/>
      <c r="AQ152" s="108"/>
      <c r="AR152" s="108"/>
      <c r="AS152" s="108"/>
    </row>
    <row r="153" spans="1:45" ht="18" customHeight="1" x14ac:dyDescent="0.45">
      <c r="A153" s="83"/>
      <c r="B153" s="46"/>
      <c r="C153" s="46"/>
      <c r="D153" s="46"/>
      <c r="E153" s="109"/>
      <c r="F153" s="46"/>
      <c r="G153" s="110"/>
      <c r="H153" s="111"/>
      <c r="I153" s="112"/>
      <c r="J153" s="113"/>
      <c r="K153" s="114"/>
      <c r="L153" s="114"/>
      <c r="M153" s="115"/>
      <c r="N153" s="116"/>
      <c r="O153" s="117"/>
      <c r="P153" s="118"/>
      <c r="Q153" s="119"/>
      <c r="R153" s="120"/>
      <c r="S153" s="68"/>
      <c r="T153" s="121"/>
      <c r="U153" s="122"/>
      <c r="V153" s="120"/>
      <c r="W153" s="68"/>
      <c r="X153" s="121"/>
      <c r="Y153" s="122"/>
      <c r="Z153" s="120"/>
      <c r="AA153" s="123"/>
      <c r="AB153" s="124"/>
      <c r="AC153" s="132"/>
      <c r="AD153" s="125"/>
      <c r="AE153" s="133"/>
      <c r="AF153" s="127"/>
      <c r="AG153" s="128"/>
      <c r="AH153" s="129"/>
      <c r="AI153" s="130"/>
      <c r="AJ153" s="128"/>
      <c r="AK153" s="129"/>
      <c r="AL153" s="130"/>
      <c r="AM153" s="128"/>
      <c r="AN153" s="129"/>
      <c r="AO153" s="130"/>
      <c r="AP153" s="107"/>
      <c r="AQ153" s="131"/>
      <c r="AR153" s="131"/>
      <c r="AS153" s="131"/>
    </row>
    <row r="154" spans="1:45" ht="18" customHeight="1" x14ac:dyDescent="0.45">
      <c r="A154" s="83"/>
      <c r="B154" s="84" t="str">
        <f>IF(A154&lt;&gt;"",INDEX('Raw Data'!$A$4:$A$203,A154-4+1),"")</f>
        <v/>
      </c>
      <c r="C154" s="84" t="str">
        <f>IF(A154&lt;&gt;"",INDEX('Raw Data'!$B$4:$B$203,A154-4+1),"")</f>
        <v/>
      </c>
      <c r="D154" s="84" t="str">
        <f>IF(A154&lt;&gt;"",INDEX('Raw Data'!$C$4:$C$203,A154-4+1),"")</f>
        <v/>
      </c>
      <c r="E154" s="51" t="str">
        <f>IF(A154&lt;&gt;"",INDEX('Raw Data'!$D$4:$D$203,A154-4+1),"")</f>
        <v/>
      </c>
      <c r="F154" s="84" t="str">
        <f>IF(A154&lt;&gt;"",INDEX('Raw Data'!$E$4:$E$203,A154-4+1),"")</f>
        <v/>
      </c>
      <c r="G154" s="85" t="str">
        <f>IF(A154&lt;&gt;"",INDEX('Raw Data'!$H$4:$H$203,A154-4+1),"")</f>
        <v/>
      </c>
      <c r="H154" s="86" t="str">
        <f>IF(A154&lt;&gt;"",INDEX('Raw Data'!$I$4:$I$203,A154-4+1),"")</f>
        <v/>
      </c>
      <c r="I154" s="87" t="str">
        <f>IF(A154&lt;&gt;"",INDEX('Raw Data'!$O$4:$O$203,A154-4+1),"")</f>
        <v/>
      </c>
      <c r="J154" s="88" t="str">
        <f>IF(A154&lt;&gt;"",IF(INDEX('Raw Data'!$D$4:$D$203,A154-4+1)&lt;&gt;"",INDEX('Raw Data'!$P$4:$P$203,A154-4+1),INDEX('Raw Data'!$R$4:$R$203,A154-4+1)),"")</f>
        <v/>
      </c>
      <c r="K154" s="89" t="str">
        <f>IF(A154&lt;&gt;"",IF(INDEX('Raw Data'!$Q$4:$Q$203,A154-4+1)&lt;&gt;"",INDEX('Raw Data'!$Q$4:$Q$203,A154-4+1),""),"")</f>
        <v/>
      </c>
      <c r="L154" s="89" t="str">
        <f t="shared" ref="L154:L185" si="0">IF(NOT(A154&lt;&gt;""),"",IF(EXACT(TRIM(F154),"Closed"),IF(K154="",J154,MIN(J154,K154)),J154))</f>
        <v/>
      </c>
      <c r="M154" s="90">
        <f>IF(A154&lt;&gt;"",INDEX('Raw Data'!$S$4:$S$203,A154-4+1),0)</f>
        <v>0</v>
      </c>
      <c r="N154" s="91" t="s">
        <v>274</v>
      </c>
      <c r="O154" s="92"/>
      <c r="P154" s="93">
        <v>1</v>
      </c>
      <c r="Q154" s="94">
        <f>IF(O154="",0,IF(N154="Umbrella Contract",Config!$C$21,Config!$C$20))</f>
        <v>0</v>
      </c>
      <c r="R154" s="95">
        <f t="shared" ref="R154:R185" si="1">IF(O154="",0,M154*Q154*P154)</f>
        <v>0</v>
      </c>
      <c r="S154" s="63"/>
      <c r="T154" s="96">
        <v>0</v>
      </c>
      <c r="U154" s="97">
        <f>IF(S154="",0,IF(N154="Umbrella Contract",Config!$C$21,Config!$C$20))</f>
        <v>0</v>
      </c>
      <c r="V154" s="95">
        <f t="shared" ref="V154:V185" si="2">IF(S154="",0,M154*U154*T154)</f>
        <v>0</v>
      </c>
      <c r="W154" s="63"/>
      <c r="X154" s="96">
        <v>0</v>
      </c>
      <c r="Y154" s="97">
        <f>IF(W154="",0,IF(N154="Umbrella Contract",Config!$C$21,Config!$C$20))</f>
        <v>0</v>
      </c>
      <c r="Z154" s="95">
        <f t="shared" ref="Z154:Z185" si="3">IF(W154="",0,M154*Y154*X154)</f>
        <v>0</v>
      </c>
      <c r="AA154" s="98"/>
      <c r="AB154" s="99">
        <f>IF(OR(N154&lt;&gt;"Umbrella Contract",AA154=""),0,M154*Config!$C$22)</f>
        <v>0</v>
      </c>
      <c r="AC154" s="100"/>
      <c r="AD154" s="101">
        <f>IF(OR(AC154="",AC154=O154,AC154=S154,AC154=W154),0,M154*Config!$C$23)</f>
        <v>0</v>
      </c>
      <c r="AE154" s="47"/>
      <c r="AF154" s="103">
        <f>IF(OR(AE154="",AE154=O154,AE154=S154,AE154=W154),0,M154*Config!$C$24)</f>
        <v>0</v>
      </c>
      <c r="AG154" s="104"/>
      <c r="AH154" s="105">
        <v>1</v>
      </c>
      <c r="AI154" s="106">
        <f>IF(AG154="",0,M154*Config!$C$26*AH154)</f>
        <v>0</v>
      </c>
      <c r="AJ154" s="104"/>
      <c r="AK154" s="105">
        <v>0</v>
      </c>
      <c r="AL154" s="106">
        <f>IF(AJ154="",0,M154*Config!$C$26*AK154)</f>
        <v>0</v>
      </c>
      <c r="AM154" s="104"/>
      <c r="AN154" s="105">
        <v>0</v>
      </c>
      <c r="AO154" s="106">
        <f>IF(AM154="",0,M154*Config!$C$26*AN154)</f>
        <v>0</v>
      </c>
      <c r="AP154" s="107" t="str">
        <f t="shared" ref="AP154:AP185" si="4">IF(AND(O154="",S154="",W154=""),"",P154+T154+X154)</f>
        <v/>
      </c>
      <c r="AQ154" s="108">
        <f t="shared" ref="AQ154:AQ185" si="5">IF(R154=0,0,R154-IF((R154+V154+Z154)=0,0,(AI154+AL154+AO154)*(R154/(R154+V154+Z154))))</f>
        <v>0</v>
      </c>
      <c r="AR154" s="108">
        <f t="shared" ref="AR154:AR185" si="6">IF(V154=0,0,V154-IF((R154+V154+Z154)=0,0,(AI154+AL154+AO154)*(V154/(R154+V154+Z154))))</f>
        <v>0</v>
      </c>
      <c r="AS154" s="108">
        <f t="shared" ref="AS154:AS185" si="7">IF(Z154=0,0,Z154-IF((R154+V154+Z154)=0,0,(AI154+AL154+AO154)*(Z154/(R154+V154+Z154))))</f>
        <v>0</v>
      </c>
    </row>
    <row r="155" spans="1:45" ht="18" customHeight="1" x14ac:dyDescent="0.45">
      <c r="A155" s="83"/>
      <c r="B155" s="46" t="str">
        <f>IF(A155&lt;&gt;"",INDEX('Raw Data'!$A$4:$A$203,A155-4+1),"")</f>
        <v/>
      </c>
      <c r="C155" s="46" t="str">
        <f>IF(A155&lt;&gt;"",INDEX('Raw Data'!$B$4:$B$203,A155-4+1),"")</f>
        <v/>
      </c>
      <c r="D155" s="46" t="str">
        <f>IF(A155&lt;&gt;"",INDEX('Raw Data'!$C$4:$C$203,A155-4+1),"")</f>
        <v/>
      </c>
      <c r="E155" s="109" t="str">
        <f>IF(A155&lt;&gt;"",INDEX('Raw Data'!$D$4:$D$203,A155-4+1),"")</f>
        <v/>
      </c>
      <c r="F155" s="46" t="str">
        <f>IF(A155&lt;&gt;"",INDEX('Raw Data'!$E$4:$E$203,A155-4+1),"")</f>
        <v/>
      </c>
      <c r="G155" s="110" t="str">
        <f>IF(A155&lt;&gt;"",INDEX('Raw Data'!$H$4:$H$203,A155-4+1),"")</f>
        <v/>
      </c>
      <c r="H155" s="111" t="str">
        <f>IF(A155&lt;&gt;"",INDEX('Raw Data'!$I$4:$I$203,A155-4+1),"")</f>
        <v/>
      </c>
      <c r="I155" s="112" t="str">
        <f>IF(A155&lt;&gt;"",INDEX('Raw Data'!$O$4:$O$203,A155-4+1),"")</f>
        <v/>
      </c>
      <c r="J155" s="113" t="str">
        <f>IF(A155&lt;&gt;"",IF(INDEX('Raw Data'!$D$4:$D$203,A155-4+1)&lt;&gt;"",INDEX('Raw Data'!$P$4:$P$203,A155-4+1),INDEX('Raw Data'!$R$4:$R$203,A155-4+1)),"")</f>
        <v/>
      </c>
      <c r="K155" s="114" t="str">
        <f>IF(A155&lt;&gt;"",IF(INDEX('Raw Data'!$Q$4:$Q$203,A155-4+1)&lt;&gt;"",INDEX('Raw Data'!$Q$4:$Q$203,A155-4+1),""),"")</f>
        <v/>
      </c>
      <c r="L155" s="114" t="str">
        <f t="shared" si="0"/>
        <v/>
      </c>
      <c r="M155" s="115">
        <f>IF(A155&lt;&gt;"",INDEX('Raw Data'!$S$4:$S$203,A155-4+1),0)</f>
        <v>0</v>
      </c>
      <c r="N155" s="116" t="s">
        <v>274</v>
      </c>
      <c r="O155" s="117"/>
      <c r="P155" s="118">
        <v>1</v>
      </c>
      <c r="Q155" s="119">
        <f>IF(O155="",0,IF(N155="Umbrella Contract",Config!$C$21,Config!$C$20))</f>
        <v>0</v>
      </c>
      <c r="R155" s="120">
        <f t="shared" si="1"/>
        <v>0</v>
      </c>
      <c r="S155" s="68"/>
      <c r="T155" s="121">
        <v>0</v>
      </c>
      <c r="U155" s="122">
        <f>IF(S155="",0,IF(N155="Umbrella Contract",Config!$C$21,Config!$C$20))</f>
        <v>0</v>
      </c>
      <c r="V155" s="120">
        <f t="shared" si="2"/>
        <v>0</v>
      </c>
      <c r="W155" s="68"/>
      <c r="X155" s="121">
        <v>0</v>
      </c>
      <c r="Y155" s="122">
        <f>IF(W155="",0,IF(N155="Umbrella Contract",Config!$C$21,Config!$C$20))</f>
        <v>0</v>
      </c>
      <c r="Z155" s="120">
        <f t="shared" si="3"/>
        <v>0</v>
      </c>
      <c r="AA155" s="123"/>
      <c r="AB155" s="124">
        <f>IF(OR(N155&lt;&gt;"Umbrella Contract",AA155=""),0,M155*Config!$C$22)</f>
        <v>0</v>
      </c>
      <c r="AC155" s="132"/>
      <c r="AD155" s="125">
        <f>IF(OR(AC155="",AC155=O155,AC155=S155,AC155=W155),0,M155*Config!$C$23)</f>
        <v>0</v>
      </c>
      <c r="AE155" s="133"/>
      <c r="AF155" s="127">
        <f>IF(OR(AE155="",AE155=O155,AE155=S155,AE155=W155),0,M155*Config!$C$24)</f>
        <v>0</v>
      </c>
      <c r="AG155" s="128"/>
      <c r="AH155" s="129">
        <v>1</v>
      </c>
      <c r="AI155" s="130">
        <f>IF(AG155="",0,M155*Config!$C$26*AH155)</f>
        <v>0</v>
      </c>
      <c r="AJ155" s="128"/>
      <c r="AK155" s="129">
        <v>0</v>
      </c>
      <c r="AL155" s="130">
        <f>IF(AJ155="",0,M155*Config!$C$26*AK155)</f>
        <v>0</v>
      </c>
      <c r="AM155" s="128"/>
      <c r="AN155" s="129">
        <v>0</v>
      </c>
      <c r="AO155" s="130">
        <f>IF(AM155="",0,M155*Config!$C$26*AN155)</f>
        <v>0</v>
      </c>
      <c r="AP155" s="107" t="str">
        <f t="shared" si="4"/>
        <v/>
      </c>
      <c r="AQ155" s="131">
        <f t="shared" si="5"/>
        <v>0</v>
      </c>
      <c r="AR155" s="131">
        <f t="shared" si="6"/>
        <v>0</v>
      </c>
      <c r="AS155" s="131">
        <f t="shared" si="7"/>
        <v>0</v>
      </c>
    </row>
    <row r="156" spans="1:45" ht="18" customHeight="1" x14ac:dyDescent="0.45">
      <c r="A156" s="83"/>
      <c r="B156" s="84" t="str">
        <f>IF(A156&lt;&gt;"",INDEX('Raw Data'!$A$4:$A$203,A156-4+1),"")</f>
        <v/>
      </c>
      <c r="C156" s="84" t="str">
        <f>IF(A156&lt;&gt;"",INDEX('Raw Data'!$B$4:$B$203,A156-4+1),"")</f>
        <v/>
      </c>
      <c r="D156" s="84" t="str">
        <f>IF(A156&lt;&gt;"",INDEX('Raw Data'!$C$4:$C$203,A156-4+1),"")</f>
        <v/>
      </c>
      <c r="E156" s="51" t="str">
        <f>IF(A156&lt;&gt;"",INDEX('Raw Data'!$D$4:$D$203,A156-4+1),"")</f>
        <v/>
      </c>
      <c r="F156" s="84" t="str">
        <f>IF(A156&lt;&gt;"",INDEX('Raw Data'!$E$4:$E$203,A156-4+1),"")</f>
        <v/>
      </c>
      <c r="G156" s="85" t="str">
        <f>IF(A156&lt;&gt;"",INDEX('Raw Data'!$H$4:$H$203,A156-4+1),"")</f>
        <v/>
      </c>
      <c r="H156" s="86" t="str">
        <f>IF(A156&lt;&gt;"",INDEX('Raw Data'!$I$4:$I$203,A156-4+1),"")</f>
        <v/>
      </c>
      <c r="I156" s="87" t="str">
        <f>IF(A156&lt;&gt;"",INDEX('Raw Data'!$O$4:$O$203,A156-4+1),"")</f>
        <v/>
      </c>
      <c r="J156" s="88" t="str">
        <f>IF(A156&lt;&gt;"",IF(INDEX('Raw Data'!$D$4:$D$203,A156-4+1)&lt;&gt;"",INDEX('Raw Data'!$P$4:$P$203,A156-4+1),INDEX('Raw Data'!$R$4:$R$203,A156-4+1)),"")</f>
        <v/>
      </c>
      <c r="K156" s="89" t="str">
        <f>IF(A156&lt;&gt;"",IF(INDEX('Raw Data'!$Q$4:$Q$203,A156-4+1)&lt;&gt;"",INDEX('Raw Data'!$Q$4:$Q$203,A156-4+1),""),"")</f>
        <v/>
      </c>
      <c r="L156" s="89" t="str">
        <f t="shared" si="0"/>
        <v/>
      </c>
      <c r="M156" s="90">
        <f>IF(A156&lt;&gt;"",INDEX('Raw Data'!$S$4:$S$203,A156-4+1),0)</f>
        <v>0</v>
      </c>
      <c r="N156" s="91" t="s">
        <v>274</v>
      </c>
      <c r="O156" s="92"/>
      <c r="P156" s="93">
        <v>1</v>
      </c>
      <c r="Q156" s="94">
        <f>IF(O156="",0,IF(N156="Umbrella Contract",Config!$C$21,Config!$C$20))</f>
        <v>0</v>
      </c>
      <c r="R156" s="95">
        <f t="shared" si="1"/>
        <v>0</v>
      </c>
      <c r="S156" s="63"/>
      <c r="T156" s="96">
        <v>0</v>
      </c>
      <c r="U156" s="97">
        <f>IF(S156="",0,IF(N156="Umbrella Contract",Config!$C$21,Config!$C$20))</f>
        <v>0</v>
      </c>
      <c r="V156" s="95">
        <f t="shared" si="2"/>
        <v>0</v>
      </c>
      <c r="W156" s="63"/>
      <c r="X156" s="96">
        <v>0</v>
      </c>
      <c r="Y156" s="97">
        <f>IF(W156="",0,IF(N156="Umbrella Contract",Config!$C$21,Config!$C$20))</f>
        <v>0</v>
      </c>
      <c r="Z156" s="95">
        <f t="shared" si="3"/>
        <v>0</v>
      </c>
      <c r="AA156" s="98"/>
      <c r="AB156" s="99">
        <f>IF(OR(N156&lt;&gt;"Umbrella Contract",AA156=""),0,M156*Config!$C$22)</f>
        <v>0</v>
      </c>
      <c r="AC156" s="100"/>
      <c r="AD156" s="101">
        <f>IF(OR(AC156="",AC156=O156,AC156=S156,AC156=W156),0,M156*Config!$C$23)</f>
        <v>0</v>
      </c>
      <c r="AE156" s="47"/>
      <c r="AF156" s="103">
        <f>IF(OR(AE156="",AE156=O156,AE156=S156,AE156=W156),0,M156*Config!$C$24)</f>
        <v>0</v>
      </c>
      <c r="AG156" s="104"/>
      <c r="AH156" s="105">
        <v>1</v>
      </c>
      <c r="AI156" s="106">
        <f>IF(AG156="",0,M156*Config!$C$26*AH156)</f>
        <v>0</v>
      </c>
      <c r="AJ156" s="104"/>
      <c r="AK156" s="105">
        <v>0</v>
      </c>
      <c r="AL156" s="106">
        <f>IF(AJ156="",0,M156*Config!$C$26*AK156)</f>
        <v>0</v>
      </c>
      <c r="AM156" s="104"/>
      <c r="AN156" s="105">
        <v>0</v>
      </c>
      <c r="AO156" s="106">
        <f>IF(AM156="",0,M156*Config!$C$26*AN156)</f>
        <v>0</v>
      </c>
      <c r="AP156" s="107" t="str">
        <f t="shared" si="4"/>
        <v/>
      </c>
      <c r="AQ156" s="108">
        <f t="shared" si="5"/>
        <v>0</v>
      </c>
      <c r="AR156" s="108">
        <f t="shared" si="6"/>
        <v>0</v>
      </c>
      <c r="AS156" s="108">
        <f t="shared" si="7"/>
        <v>0</v>
      </c>
    </row>
    <row r="157" spans="1:45" ht="18" customHeight="1" x14ac:dyDescent="0.45">
      <c r="A157" s="83"/>
      <c r="B157" s="46" t="str">
        <f>IF(A157&lt;&gt;"",INDEX('Raw Data'!$A$4:$A$203,A157-4+1),"")</f>
        <v/>
      </c>
      <c r="C157" s="46" t="str">
        <f>IF(A157&lt;&gt;"",INDEX('Raw Data'!$B$4:$B$203,A157-4+1),"")</f>
        <v/>
      </c>
      <c r="D157" s="46" t="str">
        <f>IF(A157&lt;&gt;"",INDEX('Raw Data'!$C$4:$C$203,A157-4+1),"")</f>
        <v/>
      </c>
      <c r="E157" s="109" t="str">
        <f>IF(A157&lt;&gt;"",INDEX('Raw Data'!$D$4:$D$203,A157-4+1),"")</f>
        <v/>
      </c>
      <c r="F157" s="46" t="str">
        <f>IF(A157&lt;&gt;"",INDEX('Raw Data'!$E$4:$E$203,A157-4+1),"")</f>
        <v/>
      </c>
      <c r="G157" s="110" t="str">
        <f>IF(A157&lt;&gt;"",INDEX('Raw Data'!$H$4:$H$203,A157-4+1),"")</f>
        <v/>
      </c>
      <c r="H157" s="111" t="str">
        <f>IF(A157&lt;&gt;"",INDEX('Raw Data'!$I$4:$I$203,A157-4+1),"")</f>
        <v/>
      </c>
      <c r="I157" s="112" t="str">
        <f>IF(A157&lt;&gt;"",INDEX('Raw Data'!$O$4:$O$203,A157-4+1),"")</f>
        <v/>
      </c>
      <c r="J157" s="113" t="str">
        <f>IF(A157&lt;&gt;"",IF(INDEX('Raw Data'!$D$4:$D$203,A157-4+1)&lt;&gt;"",INDEX('Raw Data'!$P$4:$P$203,A157-4+1),INDEX('Raw Data'!$R$4:$R$203,A157-4+1)),"")</f>
        <v/>
      </c>
      <c r="K157" s="114" t="str">
        <f>IF(A157&lt;&gt;"",IF(INDEX('Raw Data'!$Q$4:$Q$203,A157-4+1)&lt;&gt;"",INDEX('Raw Data'!$Q$4:$Q$203,A157-4+1),""),"")</f>
        <v/>
      </c>
      <c r="L157" s="114" t="str">
        <f t="shared" si="0"/>
        <v/>
      </c>
      <c r="M157" s="115">
        <f>IF(A157&lt;&gt;"",INDEX('Raw Data'!$S$4:$S$203,A157-4+1),0)</f>
        <v>0</v>
      </c>
      <c r="N157" s="116" t="s">
        <v>274</v>
      </c>
      <c r="O157" s="117"/>
      <c r="P157" s="118">
        <v>1</v>
      </c>
      <c r="Q157" s="119">
        <f>IF(O157="",0,IF(N157="Umbrella Contract",Config!$C$21,Config!$C$20))</f>
        <v>0</v>
      </c>
      <c r="R157" s="120">
        <f t="shared" si="1"/>
        <v>0</v>
      </c>
      <c r="S157" s="68"/>
      <c r="T157" s="121">
        <v>0</v>
      </c>
      <c r="U157" s="122">
        <f>IF(S157="",0,IF(N157="Umbrella Contract",Config!$C$21,Config!$C$20))</f>
        <v>0</v>
      </c>
      <c r="V157" s="120">
        <f t="shared" si="2"/>
        <v>0</v>
      </c>
      <c r="W157" s="68"/>
      <c r="X157" s="121">
        <v>0</v>
      </c>
      <c r="Y157" s="122">
        <f>IF(W157="",0,IF(N157="Umbrella Contract",Config!$C$21,Config!$C$20))</f>
        <v>0</v>
      </c>
      <c r="Z157" s="120">
        <f t="shared" si="3"/>
        <v>0</v>
      </c>
      <c r="AA157" s="123"/>
      <c r="AB157" s="124">
        <f>IF(OR(N157&lt;&gt;"Umbrella Contract",AA157=""),0,M157*Config!$C$22)</f>
        <v>0</v>
      </c>
      <c r="AC157" s="132"/>
      <c r="AD157" s="125">
        <f>IF(OR(AC157="",AC157=O157,AC157=S157,AC157=W157),0,M157*Config!$C$23)</f>
        <v>0</v>
      </c>
      <c r="AE157" s="133"/>
      <c r="AF157" s="127">
        <f>IF(OR(AE157="",AE157=O157,AE157=S157,AE157=W157),0,M157*Config!$C$24)</f>
        <v>0</v>
      </c>
      <c r="AG157" s="128"/>
      <c r="AH157" s="129">
        <v>1</v>
      </c>
      <c r="AI157" s="130">
        <f>IF(AG157="",0,M157*Config!$C$26*AH157)</f>
        <v>0</v>
      </c>
      <c r="AJ157" s="128"/>
      <c r="AK157" s="129">
        <v>0</v>
      </c>
      <c r="AL157" s="130">
        <f>IF(AJ157="",0,M157*Config!$C$26*AK157)</f>
        <v>0</v>
      </c>
      <c r="AM157" s="128"/>
      <c r="AN157" s="129">
        <v>0</v>
      </c>
      <c r="AO157" s="130">
        <f>IF(AM157="",0,M157*Config!$C$26*AN157)</f>
        <v>0</v>
      </c>
      <c r="AP157" s="107" t="str">
        <f t="shared" si="4"/>
        <v/>
      </c>
      <c r="AQ157" s="131">
        <f t="shared" si="5"/>
        <v>0</v>
      </c>
      <c r="AR157" s="131">
        <f t="shared" si="6"/>
        <v>0</v>
      </c>
      <c r="AS157" s="131">
        <f t="shared" si="7"/>
        <v>0</v>
      </c>
    </row>
    <row r="158" spans="1:45" ht="18" customHeight="1" x14ac:dyDescent="0.45">
      <c r="A158" s="83"/>
      <c r="B158" s="84" t="str">
        <f>IF(A158&lt;&gt;"",INDEX('Raw Data'!$A$4:$A$203,A158-4+1),"")</f>
        <v/>
      </c>
      <c r="C158" s="84" t="str">
        <f>IF(A158&lt;&gt;"",INDEX('Raw Data'!$B$4:$B$203,A158-4+1),"")</f>
        <v/>
      </c>
      <c r="D158" s="84" t="str">
        <f>IF(A158&lt;&gt;"",INDEX('Raw Data'!$C$4:$C$203,A158-4+1),"")</f>
        <v/>
      </c>
      <c r="E158" s="51" t="str">
        <f>IF(A158&lt;&gt;"",INDEX('Raw Data'!$D$4:$D$203,A158-4+1),"")</f>
        <v/>
      </c>
      <c r="F158" s="84" t="str">
        <f>IF(A158&lt;&gt;"",INDEX('Raw Data'!$E$4:$E$203,A158-4+1),"")</f>
        <v/>
      </c>
      <c r="G158" s="85" t="str">
        <f>IF(A158&lt;&gt;"",INDEX('Raw Data'!$H$4:$H$203,A158-4+1),"")</f>
        <v/>
      </c>
      <c r="H158" s="86" t="str">
        <f>IF(A158&lt;&gt;"",INDEX('Raw Data'!$I$4:$I$203,A158-4+1),"")</f>
        <v/>
      </c>
      <c r="I158" s="87" t="str">
        <f>IF(A158&lt;&gt;"",INDEX('Raw Data'!$O$4:$O$203,A158-4+1),"")</f>
        <v/>
      </c>
      <c r="J158" s="88" t="str">
        <f>IF(A158&lt;&gt;"",IF(INDEX('Raw Data'!$D$4:$D$203,A158-4+1)&lt;&gt;"",INDEX('Raw Data'!$P$4:$P$203,A158-4+1),INDEX('Raw Data'!$R$4:$R$203,A158-4+1)),"")</f>
        <v/>
      </c>
      <c r="K158" s="89" t="str">
        <f>IF(A158&lt;&gt;"",IF(INDEX('Raw Data'!$Q$4:$Q$203,A158-4+1)&lt;&gt;"",INDEX('Raw Data'!$Q$4:$Q$203,A158-4+1),""),"")</f>
        <v/>
      </c>
      <c r="L158" s="89" t="str">
        <f t="shared" si="0"/>
        <v/>
      </c>
      <c r="M158" s="90">
        <f>IF(A158&lt;&gt;"",INDEX('Raw Data'!$S$4:$S$203,A158-4+1),0)</f>
        <v>0</v>
      </c>
      <c r="N158" s="91" t="s">
        <v>274</v>
      </c>
      <c r="O158" s="92"/>
      <c r="P158" s="93">
        <v>1</v>
      </c>
      <c r="Q158" s="94">
        <f>IF(O158="",0,IF(N158="Umbrella Contract",Config!$C$21,Config!$C$20))</f>
        <v>0</v>
      </c>
      <c r="R158" s="95">
        <f t="shared" si="1"/>
        <v>0</v>
      </c>
      <c r="S158" s="63"/>
      <c r="T158" s="96">
        <v>0</v>
      </c>
      <c r="U158" s="97">
        <f>IF(S158="",0,IF(N158="Umbrella Contract",Config!$C$21,Config!$C$20))</f>
        <v>0</v>
      </c>
      <c r="V158" s="95">
        <f t="shared" si="2"/>
        <v>0</v>
      </c>
      <c r="W158" s="63"/>
      <c r="X158" s="96">
        <v>0</v>
      </c>
      <c r="Y158" s="97">
        <f>IF(W158="",0,IF(N158="Umbrella Contract",Config!$C$21,Config!$C$20))</f>
        <v>0</v>
      </c>
      <c r="Z158" s="95">
        <f t="shared" si="3"/>
        <v>0</v>
      </c>
      <c r="AA158" s="98"/>
      <c r="AB158" s="99">
        <f>IF(OR(N158&lt;&gt;"Umbrella Contract",AA158=""),0,M158*Config!$C$22)</f>
        <v>0</v>
      </c>
      <c r="AC158" s="100"/>
      <c r="AD158" s="101">
        <f>IF(OR(AC158="",AC158=O158,AC158=S158,AC158=W158),0,M158*Config!$C$23)</f>
        <v>0</v>
      </c>
      <c r="AE158" s="47"/>
      <c r="AF158" s="103">
        <f>IF(OR(AE158="",AE158=O158,AE158=S158,AE158=W158),0,M158*Config!$C$24)</f>
        <v>0</v>
      </c>
      <c r="AG158" s="104"/>
      <c r="AH158" s="105">
        <v>1</v>
      </c>
      <c r="AI158" s="106">
        <f>IF(AG158="",0,M158*Config!$C$26*AH158)</f>
        <v>0</v>
      </c>
      <c r="AJ158" s="104"/>
      <c r="AK158" s="105">
        <v>0</v>
      </c>
      <c r="AL158" s="106">
        <f>IF(AJ158="",0,M158*Config!$C$26*AK158)</f>
        <v>0</v>
      </c>
      <c r="AM158" s="104"/>
      <c r="AN158" s="105">
        <v>0</v>
      </c>
      <c r="AO158" s="106">
        <f>IF(AM158="",0,M158*Config!$C$26*AN158)</f>
        <v>0</v>
      </c>
      <c r="AP158" s="107" t="str">
        <f t="shared" si="4"/>
        <v/>
      </c>
      <c r="AQ158" s="108">
        <f t="shared" si="5"/>
        <v>0</v>
      </c>
      <c r="AR158" s="108">
        <f t="shared" si="6"/>
        <v>0</v>
      </c>
      <c r="AS158" s="108">
        <f t="shared" si="7"/>
        <v>0</v>
      </c>
    </row>
    <row r="159" spans="1:45" ht="18" customHeight="1" x14ac:dyDescent="0.45">
      <c r="A159" s="83"/>
      <c r="B159" s="46" t="str">
        <f>IF(A159&lt;&gt;"",INDEX('Raw Data'!$A$4:$A$203,A159-4+1),"")</f>
        <v/>
      </c>
      <c r="C159" s="46" t="str">
        <f>IF(A159&lt;&gt;"",INDEX('Raw Data'!$B$4:$B$203,A159-4+1),"")</f>
        <v/>
      </c>
      <c r="D159" s="46" t="str">
        <f>IF(A159&lt;&gt;"",INDEX('Raw Data'!$C$4:$C$203,A159-4+1),"")</f>
        <v/>
      </c>
      <c r="E159" s="109" t="str">
        <f>IF(A159&lt;&gt;"",INDEX('Raw Data'!$D$4:$D$203,A159-4+1),"")</f>
        <v/>
      </c>
      <c r="F159" s="46" t="str">
        <f>IF(A159&lt;&gt;"",INDEX('Raw Data'!$E$4:$E$203,A159-4+1),"")</f>
        <v/>
      </c>
      <c r="G159" s="110" t="str">
        <f>IF(A159&lt;&gt;"",INDEX('Raw Data'!$H$4:$H$203,A159-4+1),"")</f>
        <v/>
      </c>
      <c r="H159" s="111" t="str">
        <f>IF(A159&lt;&gt;"",INDEX('Raw Data'!$I$4:$I$203,A159-4+1),"")</f>
        <v/>
      </c>
      <c r="I159" s="112" t="str">
        <f>IF(A159&lt;&gt;"",INDEX('Raw Data'!$O$4:$O$203,A159-4+1),"")</f>
        <v/>
      </c>
      <c r="J159" s="113" t="str">
        <f>IF(A159&lt;&gt;"",IF(INDEX('Raw Data'!$D$4:$D$203,A159-4+1)&lt;&gt;"",INDEX('Raw Data'!$P$4:$P$203,A159-4+1),INDEX('Raw Data'!$R$4:$R$203,A159-4+1)),"")</f>
        <v/>
      </c>
      <c r="K159" s="114" t="str">
        <f>IF(A159&lt;&gt;"",IF(INDEX('Raw Data'!$Q$4:$Q$203,A159-4+1)&lt;&gt;"",INDEX('Raw Data'!$Q$4:$Q$203,A159-4+1),""),"")</f>
        <v/>
      </c>
      <c r="L159" s="114" t="str">
        <f t="shared" si="0"/>
        <v/>
      </c>
      <c r="M159" s="115">
        <f>IF(A159&lt;&gt;"",INDEX('Raw Data'!$S$4:$S$203,A159-4+1),0)</f>
        <v>0</v>
      </c>
      <c r="N159" s="116" t="s">
        <v>274</v>
      </c>
      <c r="O159" s="117"/>
      <c r="P159" s="118">
        <v>1</v>
      </c>
      <c r="Q159" s="119">
        <f>IF(O159="",0,IF(N159="Umbrella Contract",Config!$C$21,Config!$C$20))</f>
        <v>0</v>
      </c>
      <c r="R159" s="120">
        <f t="shared" si="1"/>
        <v>0</v>
      </c>
      <c r="S159" s="68"/>
      <c r="T159" s="121">
        <v>0</v>
      </c>
      <c r="U159" s="122">
        <f>IF(S159="",0,IF(N159="Umbrella Contract",Config!$C$21,Config!$C$20))</f>
        <v>0</v>
      </c>
      <c r="V159" s="120">
        <f t="shared" si="2"/>
        <v>0</v>
      </c>
      <c r="W159" s="68"/>
      <c r="X159" s="121">
        <v>0</v>
      </c>
      <c r="Y159" s="122">
        <f>IF(W159="",0,IF(N159="Umbrella Contract",Config!$C$21,Config!$C$20))</f>
        <v>0</v>
      </c>
      <c r="Z159" s="120">
        <f t="shared" si="3"/>
        <v>0</v>
      </c>
      <c r="AA159" s="123"/>
      <c r="AB159" s="124">
        <f>IF(OR(N159&lt;&gt;"Umbrella Contract",AA159=""),0,M159*Config!$C$22)</f>
        <v>0</v>
      </c>
      <c r="AC159" s="132"/>
      <c r="AD159" s="125">
        <f>IF(OR(AC159="",AC159=O159,AC159=S159,AC159=W159),0,M159*Config!$C$23)</f>
        <v>0</v>
      </c>
      <c r="AE159" s="133"/>
      <c r="AF159" s="127">
        <f>IF(OR(AE159="",AE159=O159,AE159=S159,AE159=W159),0,M159*Config!$C$24)</f>
        <v>0</v>
      </c>
      <c r="AG159" s="128"/>
      <c r="AH159" s="129">
        <v>1</v>
      </c>
      <c r="AI159" s="130">
        <f>IF(AG159="",0,M159*Config!$C$26*AH159)</f>
        <v>0</v>
      </c>
      <c r="AJ159" s="128"/>
      <c r="AK159" s="129">
        <v>0</v>
      </c>
      <c r="AL159" s="130">
        <f>IF(AJ159="",0,M159*Config!$C$26*AK159)</f>
        <v>0</v>
      </c>
      <c r="AM159" s="128"/>
      <c r="AN159" s="129">
        <v>0</v>
      </c>
      <c r="AO159" s="130">
        <f>IF(AM159="",0,M159*Config!$C$26*AN159)</f>
        <v>0</v>
      </c>
      <c r="AP159" s="107" t="str">
        <f t="shared" si="4"/>
        <v/>
      </c>
      <c r="AQ159" s="131">
        <f t="shared" si="5"/>
        <v>0</v>
      </c>
      <c r="AR159" s="131">
        <f t="shared" si="6"/>
        <v>0</v>
      </c>
      <c r="AS159" s="131">
        <f t="shared" si="7"/>
        <v>0</v>
      </c>
    </row>
    <row r="160" spans="1:45" ht="18" customHeight="1" x14ac:dyDescent="0.45">
      <c r="A160" s="83"/>
      <c r="B160" s="84" t="str">
        <f>IF(A160&lt;&gt;"",INDEX('Raw Data'!$A$4:$A$203,A160-4+1),"")</f>
        <v/>
      </c>
      <c r="C160" s="84" t="str">
        <f>IF(A160&lt;&gt;"",INDEX('Raw Data'!$B$4:$B$203,A160-4+1),"")</f>
        <v/>
      </c>
      <c r="D160" s="84" t="str">
        <f>IF(A160&lt;&gt;"",INDEX('Raw Data'!$C$4:$C$203,A160-4+1),"")</f>
        <v/>
      </c>
      <c r="E160" s="51" t="str">
        <f>IF(A160&lt;&gt;"",INDEX('Raw Data'!$D$4:$D$203,A160-4+1),"")</f>
        <v/>
      </c>
      <c r="F160" s="84" t="str">
        <f>IF(A160&lt;&gt;"",INDEX('Raw Data'!$E$4:$E$203,A160-4+1),"")</f>
        <v/>
      </c>
      <c r="G160" s="85" t="str">
        <f>IF(A160&lt;&gt;"",INDEX('Raw Data'!$H$4:$H$203,A160-4+1),"")</f>
        <v/>
      </c>
      <c r="H160" s="86" t="str">
        <f>IF(A160&lt;&gt;"",INDEX('Raw Data'!$I$4:$I$203,A160-4+1),"")</f>
        <v/>
      </c>
      <c r="I160" s="87" t="str">
        <f>IF(A160&lt;&gt;"",INDEX('Raw Data'!$O$4:$O$203,A160-4+1),"")</f>
        <v/>
      </c>
      <c r="J160" s="88" t="str">
        <f>IF(A160&lt;&gt;"",IF(INDEX('Raw Data'!$D$4:$D$203,A160-4+1)&lt;&gt;"",INDEX('Raw Data'!$P$4:$P$203,A160-4+1),INDEX('Raw Data'!$R$4:$R$203,A160-4+1)),"")</f>
        <v/>
      </c>
      <c r="K160" s="89" t="str">
        <f>IF(A160&lt;&gt;"",IF(INDEX('Raw Data'!$Q$4:$Q$203,A160-4+1)&lt;&gt;"",INDEX('Raw Data'!$Q$4:$Q$203,A160-4+1),""),"")</f>
        <v/>
      </c>
      <c r="L160" s="89" t="str">
        <f t="shared" si="0"/>
        <v/>
      </c>
      <c r="M160" s="90">
        <f>IF(A160&lt;&gt;"",INDEX('Raw Data'!$S$4:$S$203,A160-4+1),0)</f>
        <v>0</v>
      </c>
      <c r="N160" s="91" t="s">
        <v>274</v>
      </c>
      <c r="O160" s="92"/>
      <c r="P160" s="93">
        <v>1</v>
      </c>
      <c r="Q160" s="94">
        <f>IF(O160="",0,IF(N160="Umbrella Contract",Config!$C$21,Config!$C$20))</f>
        <v>0</v>
      </c>
      <c r="R160" s="95">
        <f t="shared" si="1"/>
        <v>0</v>
      </c>
      <c r="S160" s="63"/>
      <c r="T160" s="96">
        <v>0</v>
      </c>
      <c r="U160" s="97">
        <f>IF(S160="",0,IF(N160="Umbrella Contract",Config!$C$21,Config!$C$20))</f>
        <v>0</v>
      </c>
      <c r="V160" s="95">
        <f t="shared" si="2"/>
        <v>0</v>
      </c>
      <c r="W160" s="63"/>
      <c r="X160" s="96">
        <v>0</v>
      </c>
      <c r="Y160" s="97">
        <f>IF(W160="",0,IF(N160="Umbrella Contract",Config!$C$21,Config!$C$20))</f>
        <v>0</v>
      </c>
      <c r="Z160" s="95">
        <f t="shared" si="3"/>
        <v>0</v>
      </c>
      <c r="AA160" s="98"/>
      <c r="AB160" s="99">
        <f>IF(OR(N160&lt;&gt;"Umbrella Contract",AA160=""),0,M160*Config!$C$22)</f>
        <v>0</v>
      </c>
      <c r="AC160" s="100"/>
      <c r="AD160" s="101">
        <f>IF(OR(AC160="",AC160=O160,AC160=S160,AC160=W160),0,M160*Config!$C$23)</f>
        <v>0</v>
      </c>
      <c r="AE160" s="47"/>
      <c r="AF160" s="103">
        <f>IF(OR(AE160="",AE160=O160,AE160=S160,AE160=W160),0,M160*Config!$C$24)</f>
        <v>0</v>
      </c>
      <c r="AG160" s="104"/>
      <c r="AH160" s="105">
        <v>1</v>
      </c>
      <c r="AI160" s="106">
        <f>IF(AG160="",0,M160*Config!$C$26*AH160)</f>
        <v>0</v>
      </c>
      <c r="AJ160" s="104"/>
      <c r="AK160" s="105">
        <v>0</v>
      </c>
      <c r="AL160" s="106">
        <f>IF(AJ160="",0,M160*Config!$C$26*AK160)</f>
        <v>0</v>
      </c>
      <c r="AM160" s="104"/>
      <c r="AN160" s="105">
        <v>0</v>
      </c>
      <c r="AO160" s="106">
        <f>IF(AM160="",0,M160*Config!$C$26*AN160)</f>
        <v>0</v>
      </c>
      <c r="AP160" s="107" t="str">
        <f t="shared" si="4"/>
        <v/>
      </c>
      <c r="AQ160" s="108">
        <f t="shared" si="5"/>
        <v>0</v>
      </c>
      <c r="AR160" s="108">
        <f t="shared" si="6"/>
        <v>0</v>
      </c>
      <c r="AS160" s="108">
        <f t="shared" si="7"/>
        <v>0</v>
      </c>
    </row>
    <row r="161" spans="1:45" ht="18" customHeight="1" x14ac:dyDescent="0.45">
      <c r="A161" s="83"/>
      <c r="B161" s="46" t="str">
        <f>IF(A161&lt;&gt;"",INDEX('Raw Data'!$A$4:$A$203,A161-4+1),"")</f>
        <v/>
      </c>
      <c r="C161" s="46" t="str">
        <f>IF(A161&lt;&gt;"",INDEX('Raw Data'!$B$4:$B$203,A161-4+1),"")</f>
        <v/>
      </c>
      <c r="D161" s="46" t="str">
        <f>IF(A161&lt;&gt;"",INDEX('Raw Data'!$C$4:$C$203,A161-4+1),"")</f>
        <v/>
      </c>
      <c r="E161" s="109" t="str">
        <f>IF(A161&lt;&gt;"",INDEX('Raw Data'!$D$4:$D$203,A161-4+1),"")</f>
        <v/>
      </c>
      <c r="F161" s="46" t="str">
        <f>IF(A161&lt;&gt;"",INDEX('Raw Data'!$E$4:$E$203,A161-4+1),"")</f>
        <v/>
      </c>
      <c r="G161" s="110" t="str">
        <f>IF(A161&lt;&gt;"",INDEX('Raw Data'!$H$4:$H$203,A161-4+1),"")</f>
        <v/>
      </c>
      <c r="H161" s="111" t="str">
        <f>IF(A161&lt;&gt;"",INDEX('Raw Data'!$I$4:$I$203,A161-4+1),"")</f>
        <v/>
      </c>
      <c r="I161" s="112" t="str">
        <f>IF(A161&lt;&gt;"",INDEX('Raw Data'!$O$4:$O$203,A161-4+1),"")</f>
        <v/>
      </c>
      <c r="J161" s="113" t="str">
        <f>IF(A161&lt;&gt;"",IF(INDEX('Raw Data'!$D$4:$D$203,A161-4+1)&lt;&gt;"",INDEX('Raw Data'!$P$4:$P$203,A161-4+1),INDEX('Raw Data'!$R$4:$R$203,A161-4+1)),"")</f>
        <v/>
      </c>
      <c r="K161" s="114" t="str">
        <f>IF(A161&lt;&gt;"",IF(INDEX('Raw Data'!$Q$4:$Q$203,A161-4+1)&lt;&gt;"",INDEX('Raw Data'!$Q$4:$Q$203,A161-4+1),""),"")</f>
        <v/>
      </c>
      <c r="L161" s="114" t="str">
        <f t="shared" si="0"/>
        <v/>
      </c>
      <c r="M161" s="115">
        <f>IF(A161&lt;&gt;"",INDEX('Raw Data'!$S$4:$S$203,A161-4+1),0)</f>
        <v>0</v>
      </c>
      <c r="N161" s="116" t="s">
        <v>274</v>
      </c>
      <c r="O161" s="117"/>
      <c r="P161" s="118">
        <v>1</v>
      </c>
      <c r="Q161" s="119">
        <f>IF(O161="",0,IF(N161="Umbrella Contract",Config!$C$21,Config!$C$20))</f>
        <v>0</v>
      </c>
      <c r="R161" s="120">
        <f t="shared" si="1"/>
        <v>0</v>
      </c>
      <c r="S161" s="68"/>
      <c r="T161" s="121">
        <v>0</v>
      </c>
      <c r="U161" s="122">
        <f>IF(S161="",0,IF(N161="Umbrella Contract",Config!$C$21,Config!$C$20))</f>
        <v>0</v>
      </c>
      <c r="V161" s="120">
        <f t="shared" si="2"/>
        <v>0</v>
      </c>
      <c r="W161" s="68"/>
      <c r="X161" s="121">
        <v>0</v>
      </c>
      <c r="Y161" s="122">
        <f>IF(W161="",0,IF(N161="Umbrella Contract",Config!$C$21,Config!$C$20))</f>
        <v>0</v>
      </c>
      <c r="Z161" s="120">
        <f t="shared" si="3"/>
        <v>0</v>
      </c>
      <c r="AA161" s="123"/>
      <c r="AB161" s="124">
        <f>IF(OR(N161&lt;&gt;"Umbrella Contract",AA161=""),0,M161*Config!$C$22)</f>
        <v>0</v>
      </c>
      <c r="AC161" s="132"/>
      <c r="AD161" s="125">
        <f>IF(OR(AC161="",AC161=O161,AC161=S161,AC161=W161),0,M161*Config!$C$23)</f>
        <v>0</v>
      </c>
      <c r="AE161" s="133"/>
      <c r="AF161" s="127">
        <f>IF(OR(AE161="",AE161=O161,AE161=S161,AE161=W161),0,M161*Config!$C$24)</f>
        <v>0</v>
      </c>
      <c r="AG161" s="128"/>
      <c r="AH161" s="129">
        <v>1</v>
      </c>
      <c r="AI161" s="130">
        <f>IF(AG161="",0,M161*Config!$C$26*AH161)</f>
        <v>0</v>
      </c>
      <c r="AJ161" s="128"/>
      <c r="AK161" s="129">
        <v>0</v>
      </c>
      <c r="AL161" s="130">
        <f>IF(AJ161="",0,M161*Config!$C$26*AK161)</f>
        <v>0</v>
      </c>
      <c r="AM161" s="128"/>
      <c r="AN161" s="129">
        <v>0</v>
      </c>
      <c r="AO161" s="130">
        <f>IF(AM161="",0,M161*Config!$C$26*AN161)</f>
        <v>0</v>
      </c>
      <c r="AP161" s="107" t="str">
        <f t="shared" si="4"/>
        <v/>
      </c>
      <c r="AQ161" s="131">
        <f t="shared" si="5"/>
        <v>0</v>
      </c>
      <c r="AR161" s="131">
        <f t="shared" si="6"/>
        <v>0</v>
      </c>
      <c r="AS161" s="131">
        <f t="shared" si="7"/>
        <v>0</v>
      </c>
    </row>
    <row r="162" spans="1:45" ht="18" customHeight="1" x14ac:dyDescent="0.45">
      <c r="A162" s="83"/>
      <c r="B162" s="84" t="str">
        <f>IF(A162&lt;&gt;"",INDEX('Raw Data'!$A$4:$A$203,A162-4+1),"")</f>
        <v/>
      </c>
      <c r="C162" s="84" t="str">
        <f>IF(A162&lt;&gt;"",INDEX('Raw Data'!$B$4:$B$203,A162-4+1),"")</f>
        <v/>
      </c>
      <c r="D162" s="84" t="str">
        <f>IF(A162&lt;&gt;"",INDEX('Raw Data'!$C$4:$C$203,A162-4+1),"")</f>
        <v/>
      </c>
      <c r="E162" s="51" t="str">
        <f>IF(A162&lt;&gt;"",INDEX('Raw Data'!$D$4:$D$203,A162-4+1),"")</f>
        <v/>
      </c>
      <c r="F162" s="84" t="str">
        <f>IF(A162&lt;&gt;"",INDEX('Raw Data'!$E$4:$E$203,A162-4+1),"")</f>
        <v/>
      </c>
      <c r="G162" s="85" t="str">
        <f>IF(A162&lt;&gt;"",INDEX('Raw Data'!$H$4:$H$203,A162-4+1),"")</f>
        <v/>
      </c>
      <c r="H162" s="86" t="str">
        <f>IF(A162&lt;&gt;"",INDEX('Raw Data'!$I$4:$I$203,A162-4+1),"")</f>
        <v/>
      </c>
      <c r="I162" s="87" t="str">
        <f>IF(A162&lt;&gt;"",INDEX('Raw Data'!$O$4:$O$203,A162-4+1),"")</f>
        <v/>
      </c>
      <c r="J162" s="88" t="str">
        <f>IF(A162&lt;&gt;"",IF(INDEX('Raw Data'!$D$4:$D$203,A162-4+1)&lt;&gt;"",INDEX('Raw Data'!$P$4:$P$203,A162-4+1),INDEX('Raw Data'!$R$4:$R$203,A162-4+1)),"")</f>
        <v/>
      </c>
      <c r="K162" s="89" t="str">
        <f>IF(A162&lt;&gt;"",IF(INDEX('Raw Data'!$Q$4:$Q$203,A162-4+1)&lt;&gt;"",INDEX('Raw Data'!$Q$4:$Q$203,A162-4+1),""),"")</f>
        <v/>
      </c>
      <c r="L162" s="89" t="str">
        <f t="shared" si="0"/>
        <v/>
      </c>
      <c r="M162" s="90">
        <f>IF(A162&lt;&gt;"",INDEX('Raw Data'!$S$4:$S$203,A162-4+1),0)</f>
        <v>0</v>
      </c>
      <c r="N162" s="91" t="s">
        <v>274</v>
      </c>
      <c r="O162" s="92"/>
      <c r="P162" s="93">
        <v>1</v>
      </c>
      <c r="Q162" s="94">
        <f>IF(O162="",0,IF(N162="Umbrella Contract",Config!$C$21,Config!$C$20))</f>
        <v>0</v>
      </c>
      <c r="R162" s="95">
        <f t="shared" si="1"/>
        <v>0</v>
      </c>
      <c r="S162" s="63"/>
      <c r="T162" s="96">
        <v>0</v>
      </c>
      <c r="U162" s="97">
        <f>IF(S162="",0,IF(N162="Umbrella Contract",Config!$C$21,Config!$C$20))</f>
        <v>0</v>
      </c>
      <c r="V162" s="95">
        <f t="shared" si="2"/>
        <v>0</v>
      </c>
      <c r="W162" s="63"/>
      <c r="X162" s="96">
        <v>0</v>
      </c>
      <c r="Y162" s="97">
        <f>IF(W162="",0,IF(N162="Umbrella Contract",Config!$C$21,Config!$C$20))</f>
        <v>0</v>
      </c>
      <c r="Z162" s="95">
        <f t="shared" si="3"/>
        <v>0</v>
      </c>
      <c r="AA162" s="98"/>
      <c r="AB162" s="99">
        <f>IF(OR(N162&lt;&gt;"Umbrella Contract",AA162=""),0,M162*Config!$C$22)</f>
        <v>0</v>
      </c>
      <c r="AC162" s="100"/>
      <c r="AD162" s="101">
        <f>IF(OR(AC162="",AC162=O162,AC162=S162,AC162=W162),0,M162*Config!$C$23)</f>
        <v>0</v>
      </c>
      <c r="AE162" s="47"/>
      <c r="AF162" s="103">
        <f>IF(OR(AE162="",AE162=O162,AE162=S162,AE162=W162),0,M162*Config!$C$24)</f>
        <v>0</v>
      </c>
      <c r="AG162" s="104"/>
      <c r="AH162" s="105">
        <v>1</v>
      </c>
      <c r="AI162" s="106">
        <f>IF(AG162="",0,M162*Config!$C$26*AH162)</f>
        <v>0</v>
      </c>
      <c r="AJ162" s="104"/>
      <c r="AK162" s="105">
        <v>0</v>
      </c>
      <c r="AL162" s="106">
        <f>IF(AJ162="",0,M162*Config!$C$26*AK162)</f>
        <v>0</v>
      </c>
      <c r="AM162" s="104"/>
      <c r="AN162" s="105">
        <v>0</v>
      </c>
      <c r="AO162" s="106">
        <f>IF(AM162="",0,M162*Config!$C$26*AN162)</f>
        <v>0</v>
      </c>
      <c r="AP162" s="107" t="str">
        <f t="shared" si="4"/>
        <v/>
      </c>
      <c r="AQ162" s="108">
        <f t="shared" si="5"/>
        <v>0</v>
      </c>
      <c r="AR162" s="108">
        <f t="shared" si="6"/>
        <v>0</v>
      </c>
      <c r="AS162" s="108">
        <f t="shared" si="7"/>
        <v>0</v>
      </c>
    </row>
    <row r="163" spans="1:45" ht="18" customHeight="1" x14ac:dyDescent="0.45">
      <c r="A163" s="83"/>
      <c r="B163" s="46" t="str">
        <f>IF(A163&lt;&gt;"",INDEX('Raw Data'!$A$4:$A$203,A163-4+1),"")</f>
        <v/>
      </c>
      <c r="C163" s="46" t="str">
        <f>IF(A163&lt;&gt;"",INDEX('Raw Data'!$B$4:$B$203,A163-4+1),"")</f>
        <v/>
      </c>
      <c r="D163" s="46" t="str">
        <f>IF(A163&lt;&gt;"",INDEX('Raw Data'!$C$4:$C$203,A163-4+1),"")</f>
        <v/>
      </c>
      <c r="E163" s="109" t="str">
        <f>IF(A163&lt;&gt;"",INDEX('Raw Data'!$D$4:$D$203,A163-4+1),"")</f>
        <v/>
      </c>
      <c r="F163" s="46" t="str">
        <f>IF(A163&lt;&gt;"",INDEX('Raw Data'!$E$4:$E$203,A163-4+1),"")</f>
        <v/>
      </c>
      <c r="G163" s="110" t="str">
        <f>IF(A163&lt;&gt;"",INDEX('Raw Data'!$H$4:$H$203,A163-4+1),"")</f>
        <v/>
      </c>
      <c r="H163" s="111" t="str">
        <f>IF(A163&lt;&gt;"",INDEX('Raw Data'!$I$4:$I$203,A163-4+1),"")</f>
        <v/>
      </c>
      <c r="I163" s="112" t="str">
        <f>IF(A163&lt;&gt;"",INDEX('Raw Data'!$O$4:$O$203,A163-4+1),"")</f>
        <v/>
      </c>
      <c r="J163" s="113" t="str">
        <f>IF(A163&lt;&gt;"",IF(INDEX('Raw Data'!$D$4:$D$203,A163-4+1)&lt;&gt;"",INDEX('Raw Data'!$P$4:$P$203,A163-4+1),INDEX('Raw Data'!$R$4:$R$203,A163-4+1)),"")</f>
        <v/>
      </c>
      <c r="K163" s="114" t="str">
        <f>IF(A163&lt;&gt;"",IF(INDEX('Raw Data'!$Q$4:$Q$203,A163-4+1)&lt;&gt;"",INDEX('Raw Data'!$Q$4:$Q$203,A163-4+1),""),"")</f>
        <v/>
      </c>
      <c r="L163" s="114" t="str">
        <f t="shared" si="0"/>
        <v/>
      </c>
      <c r="M163" s="115">
        <f>IF(A163&lt;&gt;"",INDEX('Raw Data'!$S$4:$S$203,A163-4+1),0)</f>
        <v>0</v>
      </c>
      <c r="N163" s="116" t="s">
        <v>274</v>
      </c>
      <c r="O163" s="117"/>
      <c r="P163" s="118">
        <v>1</v>
      </c>
      <c r="Q163" s="119">
        <f>IF(O163="",0,IF(N163="Umbrella Contract",Config!$C$21,Config!$C$20))</f>
        <v>0</v>
      </c>
      <c r="R163" s="120">
        <f t="shared" si="1"/>
        <v>0</v>
      </c>
      <c r="S163" s="68"/>
      <c r="T163" s="121">
        <v>0</v>
      </c>
      <c r="U163" s="122">
        <f>IF(S163="",0,IF(N163="Umbrella Contract",Config!$C$21,Config!$C$20))</f>
        <v>0</v>
      </c>
      <c r="V163" s="120">
        <f t="shared" si="2"/>
        <v>0</v>
      </c>
      <c r="W163" s="68"/>
      <c r="X163" s="121">
        <v>0</v>
      </c>
      <c r="Y163" s="122">
        <f>IF(W163="",0,IF(N163="Umbrella Contract",Config!$C$21,Config!$C$20))</f>
        <v>0</v>
      </c>
      <c r="Z163" s="120">
        <f t="shared" si="3"/>
        <v>0</v>
      </c>
      <c r="AA163" s="123"/>
      <c r="AB163" s="124">
        <f>IF(OR(N163&lt;&gt;"Umbrella Contract",AA163=""),0,M163*Config!$C$22)</f>
        <v>0</v>
      </c>
      <c r="AC163" s="132"/>
      <c r="AD163" s="125">
        <f>IF(OR(AC163="",AC163=O163,AC163=S163,AC163=W163),0,M163*Config!$C$23)</f>
        <v>0</v>
      </c>
      <c r="AE163" s="133"/>
      <c r="AF163" s="127">
        <f>IF(OR(AE163="",AE163=O163,AE163=S163,AE163=W163),0,M163*Config!$C$24)</f>
        <v>0</v>
      </c>
      <c r="AG163" s="128"/>
      <c r="AH163" s="129">
        <v>1</v>
      </c>
      <c r="AI163" s="130">
        <f>IF(AG163="",0,M163*Config!$C$26*AH163)</f>
        <v>0</v>
      </c>
      <c r="AJ163" s="128"/>
      <c r="AK163" s="129">
        <v>0</v>
      </c>
      <c r="AL163" s="130">
        <f>IF(AJ163="",0,M163*Config!$C$26*AK163)</f>
        <v>0</v>
      </c>
      <c r="AM163" s="128"/>
      <c r="AN163" s="129">
        <v>0</v>
      </c>
      <c r="AO163" s="130">
        <f>IF(AM163="",0,M163*Config!$C$26*AN163)</f>
        <v>0</v>
      </c>
      <c r="AP163" s="107" t="str">
        <f t="shared" si="4"/>
        <v/>
      </c>
      <c r="AQ163" s="131">
        <f t="shared" si="5"/>
        <v>0</v>
      </c>
      <c r="AR163" s="131">
        <f t="shared" si="6"/>
        <v>0</v>
      </c>
      <c r="AS163" s="131">
        <f t="shared" si="7"/>
        <v>0</v>
      </c>
    </row>
    <row r="164" spans="1:45" ht="18" customHeight="1" x14ac:dyDescent="0.45">
      <c r="A164" s="83"/>
      <c r="B164" s="84" t="str">
        <f>IF(A164&lt;&gt;"",INDEX('Raw Data'!$A$4:$A$203,A164-4+1),"")</f>
        <v/>
      </c>
      <c r="C164" s="84" t="str">
        <f>IF(A164&lt;&gt;"",INDEX('Raw Data'!$B$4:$B$203,A164-4+1),"")</f>
        <v/>
      </c>
      <c r="D164" s="84" t="str">
        <f>IF(A164&lt;&gt;"",INDEX('Raw Data'!$C$4:$C$203,A164-4+1),"")</f>
        <v/>
      </c>
      <c r="E164" s="51" t="str">
        <f>IF(A164&lt;&gt;"",INDEX('Raw Data'!$D$4:$D$203,A164-4+1),"")</f>
        <v/>
      </c>
      <c r="F164" s="84" t="str">
        <f>IF(A164&lt;&gt;"",INDEX('Raw Data'!$E$4:$E$203,A164-4+1),"")</f>
        <v/>
      </c>
      <c r="G164" s="85" t="str">
        <f>IF(A164&lt;&gt;"",INDEX('Raw Data'!$H$4:$H$203,A164-4+1),"")</f>
        <v/>
      </c>
      <c r="H164" s="86" t="str">
        <f>IF(A164&lt;&gt;"",INDEX('Raw Data'!$I$4:$I$203,A164-4+1),"")</f>
        <v/>
      </c>
      <c r="I164" s="87" t="str">
        <f>IF(A164&lt;&gt;"",INDEX('Raw Data'!$O$4:$O$203,A164-4+1),"")</f>
        <v/>
      </c>
      <c r="J164" s="88" t="str">
        <f>IF(A164&lt;&gt;"",IF(INDEX('Raw Data'!$D$4:$D$203,A164-4+1)&lt;&gt;"",INDEX('Raw Data'!$P$4:$P$203,A164-4+1),INDEX('Raw Data'!$R$4:$R$203,A164-4+1)),"")</f>
        <v/>
      </c>
      <c r="K164" s="89" t="str">
        <f>IF(A164&lt;&gt;"",IF(INDEX('Raw Data'!$Q$4:$Q$203,A164-4+1)&lt;&gt;"",INDEX('Raw Data'!$Q$4:$Q$203,A164-4+1),""),"")</f>
        <v/>
      </c>
      <c r="L164" s="89" t="str">
        <f t="shared" si="0"/>
        <v/>
      </c>
      <c r="M164" s="90">
        <f>IF(A164&lt;&gt;"",INDEX('Raw Data'!$S$4:$S$203,A164-4+1),0)</f>
        <v>0</v>
      </c>
      <c r="N164" s="91" t="s">
        <v>274</v>
      </c>
      <c r="O164" s="92"/>
      <c r="P164" s="93">
        <v>1</v>
      </c>
      <c r="Q164" s="94">
        <f>IF(O164="",0,IF(N164="Umbrella Contract",Config!$C$21,Config!$C$20))</f>
        <v>0</v>
      </c>
      <c r="R164" s="95">
        <f t="shared" si="1"/>
        <v>0</v>
      </c>
      <c r="S164" s="63"/>
      <c r="T164" s="96">
        <v>0</v>
      </c>
      <c r="U164" s="97">
        <f>IF(S164="",0,IF(N164="Umbrella Contract",Config!$C$21,Config!$C$20))</f>
        <v>0</v>
      </c>
      <c r="V164" s="95">
        <f t="shared" si="2"/>
        <v>0</v>
      </c>
      <c r="W164" s="63"/>
      <c r="X164" s="96">
        <v>0</v>
      </c>
      <c r="Y164" s="97">
        <f>IF(W164="",0,IF(N164="Umbrella Contract",Config!$C$21,Config!$C$20))</f>
        <v>0</v>
      </c>
      <c r="Z164" s="95">
        <f t="shared" si="3"/>
        <v>0</v>
      </c>
      <c r="AA164" s="98"/>
      <c r="AB164" s="99">
        <f>IF(OR(N164&lt;&gt;"Umbrella Contract",AA164=""),0,M164*Config!$C$22)</f>
        <v>0</v>
      </c>
      <c r="AC164" s="100"/>
      <c r="AD164" s="101">
        <f>IF(OR(AC164="",AC164=O164,AC164=S164,AC164=W164),0,M164*Config!$C$23)</f>
        <v>0</v>
      </c>
      <c r="AE164" s="47"/>
      <c r="AF164" s="103">
        <f>IF(OR(AE164="",AE164=O164,AE164=S164,AE164=W164),0,M164*Config!$C$24)</f>
        <v>0</v>
      </c>
      <c r="AG164" s="104"/>
      <c r="AH164" s="105">
        <v>1</v>
      </c>
      <c r="AI164" s="106">
        <f>IF(AG164="",0,M164*Config!$C$26*AH164)</f>
        <v>0</v>
      </c>
      <c r="AJ164" s="104"/>
      <c r="AK164" s="105">
        <v>0</v>
      </c>
      <c r="AL164" s="106">
        <f>IF(AJ164="",0,M164*Config!$C$26*AK164)</f>
        <v>0</v>
      </c>
      <c r="AM164" s="104"/>
      <c r="AN164" s="105">
        <v>0</v>
      </c>
      <c r="AO164" s="106">
        <f>IF(AM164="",0,M164*Config!$C$26*AN164)</f>
        <v>0</v>
      </c>
      <c r="AP164" s="107" t="str">
        <f t="shared" si="4"/>
        <v/>
      </c>
      <c r="AQ164" s="108">
        <f t="shared" si="5"/>
        <v>0</v>
      </c>
      <c r="AR164" s="108">
        <f t="shared" si="6"/>
        <v>0</v>
      </c>
      <c r="AS164" s="108">
        <f t="shared" si="7"/>
        <v>0</v>
      </c>
    </row>
    <row r="165" spans="1:45" ht="18" customHeight="1" x14ac:dyDescent="0.45">
      <c r="A165" s="83"/>
      <c r="B165" s="46" t="str">
        <f>IF(A165&lt;&gt;"",INDEX('Raw Data'!$A$4:$A$203,A165-4+1),"")</f>
        <v/>
      </c>
      <c r="C165" s="46" t="str">
        <f>IF(A165&lt;&gt;"",INDEX('Raw Data'!$B$4:$B$203,A165-4+1),"")</f>
        <v/>
      </c>
      <c r="D165" s="46" t="str">
        <f>IF(A165&lt;&gt;"",INDEX('Raw Data'!$C$4:$C$203,A165-4+1),"")</f>
        <v/>
      </c>
      <c r="E165" s="109" t="str">
        <f>IF(A165&lt;&gt;"",INDEX('Raw Data'!$D$4:$D$203,A165-4+1),"")</f>
        <v/>
      </c>
      <c r="F165" s="46" t="str">
        <f>IF(A165&lt;&gt;"",INDEX('Raw Data'!$E$4:$E$203,A165-4+1),"")</f>
        <v/>
      </c>
      <c r="G165" s="110" t="str">
        <f>IF(A165&lt;&gt;"",INDEX('Raw Data'!$H$4:$H$203,A165-4+1),"")</f>
        <v/>
      </c>
      <c r="H165" s="111" t="str">
        <f>IF(A165&lt;&gt;"",INDEX('Raw Data'!$I$4:$I$203,A165-4+1),"")</f>
        <v/>
      </c>
      <c r="I165" s="112" t="str">
        <f>IF(A165&lt;&gt;"",INDEX('Raw Data'!$O$4:$O$203,A165-4+1),"")</f>
        <v/>
      </c>
      <c r="J165" s="113" t="str">
        <f>IF(A165&lt;&gt;"",IF(INDEX('Raw Data'!$D$4:$D$203,A165-4+1)&lt;&gt;"",INDEX('Raw Data'!$P$4:$P$203,A165-4+1),INDEX('Raw Data'!$R$4:$R$203,A165-4+1)),"")</f>
        <v/>
      </c>
      <c r="K165" s="114" t="str">
        <f>IF(A165&lt;&gt;"",IF(INDEX('Raw Data'!$Q$4:$Q$203,A165-4+1)&lt;&gt;"",INDEX('Raw Data'!$Q$4:$Q$203,A165-4+1),""),"")</f>
        <v/>
      </c>
      <c r="L165" s="114" t="str">
        <f t="shared" si="0"/>
        <v/>
      </c>
      <c r="M165" s="115">
        <f>IF(A165&lt;&gt;"",INDEX('Raw Data'!$S$4:$S$203,A165-4+1),0)</f>
        <v>0</v>
      </c>
      <c r="N165" s="116" t="s">
        <v>274</v>
      </c>
      <c r="O165" s="117"/>
      <c r="P165" s="118">
        <v>1</v>
      </c>
      <c r="Q165" s="119">
        <f>IF(O165="",0,IF(N165="Umbrella Contract",Config!$C$21,Config!$C$20))</f>
        <v>0</v>
      </c>
      <c r="R165" s="120">
        <f t="shared" si="1"/>
        <v>0</v>
      </c>
      <c r="S165" s="68"/>
      <c r="T165" s="121">
        <v>0</v>
      </c>
      <c r="U165" s="122">
        <f>IF(S165="",0,IF(N165="Umbrella Contract",Config!$C$21,Config!$C$20))</f>
        <v>0</v>
      </c>
      <c r="V165" s="120">
        <f t="shared" si="2"/>
        <v>0</v>
      </c>
      <c r="W165" s="68"/>
      <c r="X165" s="121">
        <v>0</v>
      </c>
      <c r="Y165" s="122">
        <f>IF(W165="",0,IF(N165="Umbrella Contract",Config!$C$21,Config!$C$20))</f>
        <v>0</v>
      </c>
      <c r="Z165" s="120">
        <f t="shared" si="3"/>
        <v>0</v>
      </c>
      <c r="AA165" s="123"/>
      <c r="AB165" s="124">
        <f>IF(OR(N165&lt;&gt;"Umbrella Contract",AA165=""),0,M165*Config!$C$22)</f>
        <v>0</v>
      </c>
      <c r="AC165" s="132"/>
      <c r="AD165" s="125">
        <f>IF(OR(AC165="",AC165=O165,AC165=S165,AC165=W165),0,M165*Config!$C$23)</f>
        <v>0</v>
      </c>
      <c r="AE165" s="133"/>
      <c r="AF165" s="127">
        <f>IF(OR(AE165="",AE165=O165,AE165=S165,AE165=W165),0,M165*Config!$C$24)</f>
        <v>0</v>
      </c>
      <c r="AG165" s="128"/>
      <c r="AH165" s="129">
        <v>1</v>
      </c>
      <c r="AI165" s="130">
        <f>IF(AG165="",0,M165*Config!$C$26*AH165)</f>
        <v>0</v>
      </c>
      <c r="AJ165" s="128"/>
      <c r="AK165" s="129">
        <v>0</v>
      </c>
      <c r="AL165" s="130">
        <f>IF(AJ165="",0,M165*Config!$C$26*AK165)</f>
        <v>0</v>
      </c>
      <c r="AM165" s="128"/>
      <c r="AN165" s="129">
        <v>0</v>
      </c>
      <c r="AO165" s="130">
        <f>IF(AM165="",0,M165*Config!$C$26*AN165)</f>
        <v>0</v>
      </c>
      <c r="AP165" s="107" t="str">
        <f t="shared" si="4"/>
        <v/>
      </c>
      <c r="AQ165" s="131">
        <f t="shared" si="5"/>
        <v>0</v>
      </c>
      <c r="AR165" s="131">
        <f t="shared" si="6"/>
        <v>0</v>
      </c>
      <c r="AS165" s="131">
        <f t="shared" si="7"/>
        <v>0</v>
      </c>
    </row>
    <row r="166" spans="1:45" ht="18" customHeight="1" x14ac:dyDescent="0.45">
      <c r="A166" s="83"/>
      <c r="B166" s="84" t="str">
        <f>IF(A166&lt;&gt;"",INDEX('Raw Data'!$A$4:$A$203,A166-4+1),"")</f>
        <v/>
      </c>
      <c r="C166" s="84" t="str">
        <f>IF(A166&lt;&gt;"",INDEX('Raw Data'!$B$4:$B$203,A166-4+1),"")</f>
        <v/>
      </c>
      <c r="D166" s="84" t="str">
        <f>IF(A166&lt;&gt;"",INDEX('Raw Data'!$C$4:$C$203,A166-4+1),"")</f>
        <v/>
      </c>
      <c r="E166" s="51" t="str">
        <f>IF(A166&lt;&gt;"",INDEX('Raw Data'!$D$4:$D$203,A166-4+1),"")</f>
        <v/>
      </c>
      <c r="F166" s="84" t="str">
        <f>IF(A166&lt;&gt;"",INDEX('Raw Data'!$E$4:$E$203,A166-4+1),"")</f>
        <v/>
      </c>
      <c r="G166" s="85" t="str">
        <f>IF(A166&lt;&gt;"",INDEX('Raw Data'!$H$4:$H$203,A166-4+1),"")</f>
        <v/>
      </c>
      <c r="H166" s="86" t="str">
        <f>IF(A166&lt;&gt;"",INDEX('Raw Data'!$I$4:$I$203,A166-4+1),"")</f>
        <v/>
      </c>
      <c r="I166" s="87" t="str">
        <f>IF(A166&lt;&gt;"",INDEX('Raw Data'!$O$4:$O$203,A166-4+1),"")</f>
        <v/>
      </c>
      <c r="J166" s="88" t="str">
        <f>IF(A166&lt;&gt;"",IF(INDEX('Raw Data'!$D$4:$D$203,A166-4+1)&lt;&gt;"",INDEX('Raw Data'!$P$4:$P$203,A166-4+1),INDEX('Raw Data'!$R$4:$R$203,A166-4+1)),"")</f>
        <v/>
      </c>
      <c r="K166" s="89" t="str">
        <f>IF(A166&lt;&gt;"",IF(INDEX('Raw Data'!$Q$4:$Q$203,A166-4+1)&lt;&gt;"",INDEX('Raw Data'!$Q$4:$Q$203,A166-4+1),""),"")</f>
        <v/>
      </c>
      <c r="L166" s="89" t="str">
        <f t="shared" si="0"/>
        <v/>
      </c>
      <c r="M166" s="90">
        <f>IF(A166&lt;&gt;"",INDEX('Raw Data'!$S$4:$S$203,A166-4+1),0)</f>
        <v>0</v>
      </c>
      <c r="N166" s="91" t="s">
        <v>274</v>
      </c>
      <c r="O166" s="92"/>
      <c r="P166" s="93">
        <v>1</v>
      </c>
      <c r="Q166" s="94">
        <f>IF(O166="",0,IF(N166="Umbrella Contract",Config!$C$21,Config!$C$20))</f>
        <v>0</v>
      </c>
      <c r="R166" s="95">
        <f t="shared" si="1"/>
        <v>0</v>
      </c>
      <c r="S166" s="63"/>
      <c r="T166" s="96">
        <v>0</v>
      </c>
      <c r="U166" s="97">
        <f>IF(S166="",0,IF(N166="Umbrella Contract",Config!$C$21,Config!$C$20))</f>
        <v>0</v>
      </c>
      <c r="V166" s="95">
        <f t="shared" si="2"/>
        <v>0</v>
      </c>
      <c r="W166" s="63"/>
      <c r="X166" s="96">
        <v>0</v>
      </c>
      <c r="Y166" s="97">
        <f>IF(W166="",0,IF(N166="Umbrella Contract",Config!$C$21,Config!$C$20))</f>
        <v>0</v>
      </c>
      <c r="Z166" s="95">
        <f t="shared" si="3"/>
        <v>0</v>
      </c>
      <c r="AA166" s="98"/>
      <c r="AB166" s="99">
        <f>IF(OR(N166&lt;&gt;"Umbrella Contract",AA166=""),0,M166*Config!$C$22)</f>
        <v>0</v>
      </c>
      <c r="AC166" s="100"/>
      <c r="AD166" s="101">
        <f>IF(OR(AC166="",AC166=O166,AC166=S166,AC166=W166),0,M166*Config!$C$23)</f>
        <v>0</v>
      </c>
      <c r="AE166" s="47"/>
      <c r="AF166" s="103">
        <f>IF(OR(AE166="",AE166=O166,AE166=S166,AE166=W166),0,M166*Config!$C$24)</f>
        <v>0</v>
      </c>
      <c r="AG166" s="104"/>
      <c r="AH166" s="105">
        <v>1</v>
      </c>
      <c r="AI166" s="106">
        <f>IF(AG166="",0,M166*Config!$C$26*AH166)</f>
        <v>0</v>
      </c>
      <c r="AJ166" s="104"/>
      <c r="AK166" s="105">
        <v>0</v>
      </c>
      <c r="AL166" s="106">
        <f>IF(AJ166="",0,M166*Config!$C$26*AK166)</f>
        <v>0</v>
      </c>
      <c r="AM166" s="104"/>
      <c r="AN166" s="105">
        <v>0</v>
      </c>
      <c r="AO166" s="106">
        <f>IF(AM166="",0,M166*Config!$C$26*AN166)</f>
        <v>0</v>
      </c>
      <c r="AP166" s="107" t="str">
        <f t="shared" si="4"/>
        <v/>
      </c>
      <c r="AQ166" s="108">
        <f t="shared" si="5"/>
        <v>0</v>
      </c>
      <c r="AR166" s="108">
        <f t="shared" si="6"/>
        <v>0</v>
      </c>
      <c r="AS166" s="108">
        <f t="shared" si="7"/>
        <v>0</v>
      </c>
    </row>
    <row r="167" spans="1:45" ht="18" customHeight="1" x14ac:dyDescent="0.45">
      <c r="A167" s="83"/>
      <c r="B167" s="46" t="str">
        <f>IF(A167&lt;&gt;"",INDEX('Raw Data'!$A$4:$A$203,A167-4+1),"")</f>
        <v/>
      </c>
      <c r="C167" s="46" t="str">
        <f>IF(A167&lt;&gt;"",INDEX('Raw Data'!$B$4:$B$203,A167-4+1),"")</f>
        <v/>
      </c>
      <c r="D167" s="46" t="str">
        <f>IF(A167&lt;&gt;"",INDEX('Raw Data'!$C$4:$C$203,A167-4+1),"")</f>
        <v/>
      </c>
      <c r="E167" s="109" t="str">
        <f>IF(A167&lt;&gt;"",INDEX('Raw Data'!$D$4:$D$203,A167-4+1),"")</f>
        <v/>
      </c>
      <c r="F167" s="46" t="str">
        <f>IF(A167&lt;&gt;"",INDEX('Raw Data'!$E$4:$E$203,A167-4+1),"")</f>
        <v/>
      </c>
      <c r="G167" s="110" t="str">
        <f>IF(A167&lt;&gt;"",INDEX('Raw Data'!$H$4:$H$203,A167-4+1),"")</f>
        <v/>
      </c>
      <c r="H167" s="111" t="str">
        <f>IF(A167&lt;&gt;"",INDEX('Raw Data'!$I$4:$I$203,A167-4+1),"")</f>
        <v/>
      </c>
      <c r="I167" s="112" t="str">
        <f>IF(A167&lt;&gt;"",INDEX('Raw Data'!$O$4:$O$203,A167-4+1),"")</f>
        <v/>
      </c>
      <c r="J167" s="113" t="str">
        <f>IF(A167&lt;&gt;"",IF(INDEX('Raw Data'!$D$4:$D$203,A167-4+1)&lt;&gt;"",INDEX('Raw Data'!$P$4:$P$203,A167-4+1),INDEX('Raw Data'!$R$4:$R$203,A167-4+1)),"")</f>
        <v/>
      </c>
      <c r="K167" s="114" t="str">
        <f>IF(A167&lt;&gt;"",IF(INDEX('Raw Data'!$Q$4:$Q$203,A167-4+1)&lt;&gt;"",INDEX('Raw Data'!$Q$4:$Q$203,A167-4+1),""),"")</f>
        <v/>
      </c>
      <c r="L167" s="114" t="str">
        <f t="shared" si="0"/>
        <v/>
      </c>
      <c r="M167" s="115">
        <f>IF(A167&lt;&gt;"",INDEX('Raw Data'!$S$4:$S$203,A167-4+1),0)</f>
        <v>0</v>
      </c>
      <c r="N167" s="116" t="s">
        <v>274</v>
      </c>
      <c r="O167" s="117"/>
      <c r="P167" s="118">
        <v>1</v>
      </c>
      <c r="Q167" s="119">
        <f>IF(O167="",0,IF(N167="Umbrella Contract",Config!$C$21,Config!$C$20))</f>
        <v>0</v>
      </c>
      <c r="R167" s="120">
        <f t="shared" si="1"/>
        <v>0</v>
      </c>
      <c r="S167" s="68"/>
      <c r="T167" s="121">
        <v>0</v>
      </c>
      <c r="U167" s="122">
        <f>IF(S167="",0,IF(N167="Umbrella Contract",Config!$C$21,Config!$C$20))</f>
        <v>0</v>
      </c>
      <c r="V167" s="120">
        <f t="shared" si="2"/>
        <v>0</v>
      </c>
      <c r="W167" s="68"/>
      <c r="X167" s="121">
        <v>0</v>
      </c>
      <c r="Y167" s="122">
        <f>IF(W167="",0,IF(N167="Umbrella Contract",Config!$C$21,Config!$C$20))</f>
        <v>0</v>
      </c>
      <c r="Z167" s="120">
        <f t="shared" si="3"/>
        <v>0</v>
      </c>
      <c r="AA167" s="123"/>
      <c r="AB167" s="124">
        <f>IF(OR(N167&lt;&gt;"Umbrella Contract",AA167=""),0,M167*Config!$C$22)</f>
        <v>0</v>
      </c>
      <c r="AC167" s="132"/>
      <c r="AD167" s="125">
        <f>IF(OR(AC167="",AC167=O167,AC167=S167,AC167=W167),0,M167*Config!$C$23)</f>
        <v>0</v>
      </c>
      <c r="AE167" s="133"/>
      <c r="AF167" s="127">
        <f>IF(OR(AE167="",AE167=O167,AE167=S167,AE167=W167),0,M167*Config!$C$24)</f>
        <v>0</v>
      </c>
      <c r="AG167" s="128"/>
      <c r="AH167" s="129">
        <v>1</v>
      </c>
      <c r="AI167" s="130">
        <f>IF(AG167="",0,M167*Config!$C$26*AH167)</f>
        <v>0</v>
      </c>
      <c r="AJ167" s="128"/>
      <c r="AK167" s="129">
        <v>0</v>
      </c>
      <c r="AL167" s="130">
        <f>IF(AJ167="",0,M167*Config!$C$26*AK167)</f>
        <v>0</v>
      </c>
      <c r="AM167" s="128"/>
      <c r="AN167" s="129">
        <v>0</v>
      </c>
      <c r="AO167" s="130">
        <f>IF(AM167="",0,M167*Config!$C$26*AN167)</f>
        <v>0</v>
      </c>
      <c r="AP167" s="107" t="str">
        <f t="shared" si="4"/>
        <v/>
      </c>
      <c r="AQ167" s="131">
        <f t="shared" si="5"/>
        <v>0</v>
      </c>
      <c r="AR167" s="131">
        <f t="shared" si="6"/>
        <v>0</v>
      </c>
      <c r="AS167" s="131">
        <f t="shared" si="7"/>
        <v>0</v>
      </c>
    </row>
    <row r="168" spans="1:45" ht="18" customHeight="1" x14ac:dyDescent="0.45">
      <c r="A168" s="83"/>
      <c r="B168" s="84" t="str">
        <f>IF(A168&lt;&gt;"",INDEX('Raw Data'!$A$4:$A$203,A168-4+1),"")</f>
        <v/>
      </c>
      <c r="C168" s="84" t="str">
        <f>IF(A168&lt;&gt;"",INDEX('Raw Data'!$B$4:$B$203,A168-4+1),"")</f>
        <v/>
      </c>
      <c r="D168" s="84" t="str">
        <f>IF(A168&lt;&gt;"",INDEX('Raw Data'!$C$4:$C$203,A168-4+1),"")</f>
        <v/>
      </c>
      <c r="E168" s="51" t="str">
        <f>IF(A168&lt;&gt;"",INDEX('Raw Data'!$D$4:$D$203,A168-4+1),"")</f>
        <v/>
      </c>
      <c r="F168" s="84" t="str">
        <f>IF(A168&lt;&gt;"",INDEX('Raw Data'!$E$4:$E$203,A168-4+1),"")</f>
        <v/>
      </c>
      <c r="G168" s="85" t="str">
        <f>IF(A168&lt;&gt;"",INDEX('Raw Data'!$H$4:$H$203,A168-4+1),"")</f>
        <v/>
      </c>
      <c r="H168" s="86" t="str">
        <f>IF(A168&lt;&gt;"",INDEX('Raw Data'!$I$4:$I$203,A168-4+1),"")</f>
        <v/>
      </c>
      <c r="I168" s="87" t="str">
        <f>IF(A168&lt;&gt;"",INDEX('Raw Data'!$O$4:$O$203,A168-4+1),"")</f>
        <v/>
      </c>
      <c r="J168" s="88" t="str">
        <f>IF(A168&lt;&gt;"",IF(INDEX('Raw Data'!$D$4:$D$203,A168-4+1)&lt;&gt;"",INDEX('Raw Data'!$P$4:$P$203,A168-4+1),INDEX('Raw Data'!$R$4:$R$203,A168-4+1)),"")</f>
        <v/>
      </c>
      <c r="K168" s="89" t="str">
        <f>IF(A168&lt;&gt;"",IF(INDEX('Raw Data'!$Q$4:$Q$203,A168-4+1)&lt;&gt;"",INDEX('Raw Data'!$Q$4:$Q$203,A168-4+1),""),"")</f>
        <v/>
      </c>
      <c r="L168" s="89" t="str">
        <f t="shared" si="0"/>
        <v/>
      </c>
      <c r="M168" s="90">
        <f>IF(A168&lt;&gt;"",INDEX('Raw Data'!$S$4:$S$203,A168-4+1),0)</f>
        <v>0</v>
      </c>
      <c r="N168" s="91" t="s">
        <v>274</v>
      </c>
      <c r="O168" s="92"/>
      <c r="P168" s="93">
        <v>1</v>
      </c>
      <c r="Q168" s="94">
        <f>IF(O168="",0,IF(N168="Umbrella Contract",Config!$C$21,Config!$C$20))</f>
        <v>0</v>
      </c>
      <c r="R168" s="95">
        <f t="shared" si="1"/>
        <v>0</v>
      </c>
      <c r="S168" s="63"/>
      <c r="T168" s="96">
        <v>0</v>
      </c>
      <c r="U168" s="97">
        <f>IF(S168="",0,IF(N168="Umbrella Contract",Config!$C$21,Config!$C$20))</f>
        <v>0</v>
      </c>
      <c r="V168" s="95">
        <f t="shared" si="2"/>
        <v>0</v>
      </c>
      <c r="W168" s="63"/>
      <c r="X168" s="96">
        <v>0</v>
      </c>
      <c r="Y168" s="97">
        <f>IF(W168="",0,IF(N168="Umbrella Contract",Config!$C$21,Config!$C$20))</f>
        <v>0</v>
      </c>
      <c r="Z168" s="95">
        <f t="shared" si="3"/>
        <v>0</v>
      </c>
      <c r="AA168" s="98"/>
      <c r="AB168" s="99">
        <f>IF(OR(N168&lt;&gt;"Umbrella Contract",AA168=""),0,M168*Config!$C$22)</f>
        <v>0</v>
      </c>
      <c r="AC168" s="100"/>
      <c r="AD168" s="101">
        <f>IF(OR(AC168="",AC168=O168,AC168=S168,AC168=W168),0,M168*Config!$C$23)</f>
        <v>0</v>
      </c>
      <c r="AE168" s="47"/>
      <c r="AF168" s="103">
        <f>IF(OR(AE168="",AE168=O168,AE168=S168,AE168=W168),0,M168*Config!$C$24)</f>
        <v>0</v>
      </c>
      <c r="AG168" s="104"/>
      <c r="AH168" s="105">
        <v>1</v>
      </c>
      <c r="AI168" s="106">
        <f>IF(AG168="",0,M168*Config!$C$26*AH168)</f>
        <v>0</v>
      </c>
      <c r="AJ168" s="104"/>
      <c r="AK168" s="105">
        <v>0</v>
      </c>
      <c r="AL168" s="106">
        <f>IF(AJ168="",0,M168*Config!$C$26*AK168)</f>
        <v>0</v>
      </c>
      <c r="AM168" s="104"/>
      <c r="AN168" s="105">
        <v>0</v>
      </c>
      <c r="AO168" s="106">
        <f>IF(AM168="",0,M168*Config!$C$26*AN168)</f>
        <v>0</v>
      </c>
      <c r="AP168" s="107" t="str">
        <f t="shared" si="4"/>
        <v/>
      </c>
      <c r="AQ168" s="108">
        <f t="shared" si="5"/>
        <v>0</v>
      </c>
      <c r="AR168" s="108">
        <f t="shared" si="6"/>
        <v>0</v>
      </c>
      <c r="AS168" s="108">
        <f t="shared" si="7"/>
        <v>0</v>
      </c>
    </row>
    <row r="169" spans="1:45" ht="18" customHeight="1" x14ac:dyDescent="0.45">
      <c r="A169" s="83"/>
      <c r="B169" s="46" t="str">
        <f>IF(A169&lt;&gt;"",INDEX('Raw Data'!$A$4:$A$203,A169-4+1),"")</f>
        <v/>
      </c>
      <c r="C169" s="46" t="str">
        <f>IF(A169&lt;&gt;"",INDEX('Raw Data'!$B$4:$B$203,A169-4+1),"")</f>
        <v/>
      </c>
      <c r="D169" s="46" t="str">
        <f>IF(A169&lt;&gt;"",INDEX('Raw Data'!$C$4:$C$203,A169-4+1),"")</f>
        <v/>
      </c>
      <c r="E169" s="109" t="str">
        <f>IF(A169&lt;&gt;"",INDEX('Raw Data'!$D$4:$D$203,A169-4+1),"")</f>
        <v/>
      </c>
      <c r="F169" s="46" t="str">
        <f>IF(A169&lt;&gt;"",INDEX('Raw Data'!$E$4:$E$203,A169-4+1),"")</f>
        <v/>
      </c>
      <c r="G169" s="110" t="str">
        <f>IF(A169&lt;&gt;"",INDEX('Raw Data'!$H$4:$H$203,A169-4+1),"")</f>
        <v/>
      </c>
      <c r="H169" s="111" t="str">
        <f>IF(A169&lt;&gt;"",INDEX('Raw Data'!$I$4:$I$203,A169-4+1),"")</f>
        <v/>
      </c>
      <c r="I169" s="112" t="str">
        <f>IF(A169&lt;&gt;"",INDEX('Raw Data'!$O$4:$O$203,A169-4+1),"")</f>
        <v/>
      </c>
      <c r="J169" s="113" t="str">
        <f>IF(A169&lt;&gt;"",IF(INDEX('Raw Data'!$D$4:$D$203,A169-4+1)&lt;&gt;"",INDEX('Raw Data'!$P$4:$P$203,A169-4+1),INDEX('Raw Data'!$R$4:$R$203,A169-4+1)),"")</f>
        <v/>
      </c>
      <c r="K169" s="114" t="str">
        <f>IF(A169&lt;&gt;"",IF(INDEX('Raw Data'!$Q$4:$Q$203,A169-4+1)&lt;&gt;"",INDEX('Raw Data'!$Q$4:$Q$203,A169-4+1),""),"")</f>
        <v/>
      </c>
      <c r="L169" s="114" t="str">
        <f t="shared" si="0"/>
        <v/>
      </c>
      <c r="M169" s="115">
        <f>IF(A169&lt;&gt;"",INDEX('Raw Data'!$S$4:$S$203,A169-4+1),0)</f>
        <v>0</v>
      </c>
      <c r="N169" s="116" t="s">
        <v>274</v>
      </c>
      <c r="O169" s="117"/>
      <c r="P169" s="118">
        <v>1</v>
      </c>
      <c r="Q169" s="119">
        <f>IF(O169="",0,IF(N169="Umbrella Contract",Config!$C$21,Config!$C$20))</f>
        <v>0</v>
      </c>
      <c r="R169" s="120">
        <f t="shared" si="1"/>
        <v>0</v>
      </c>
      <c r="S169" s="68"/>
      <c r="T169" s="121">
        <v>0</v>
      </c>
      <c r="U169" s="122">
        <f>IF(S169="",0,IF(N169="Umbrella Contract",Config!$C$21,Config!$C$20))</f>
        <v>0</v>
      </c>
      <c r="V169" s="120">
        <f t="shared" si="2"/>
        <v>0</v>
      </c>
      <c r="W169" s="68"/>
      <c r="X169" s="121">
        <v>0</v>
      </c>
      <c r="Y169" s="122">
        <f>IF(W169="",0,IF(N169="Umbrella Contract",Config!$C$21,Config!$C$20))</f>
        <v>0</v>
      </c>
      <c r="Z169" s="120">
        <f t="shared" si="3"/>
        <v>0</v>
      </c>
      <c r="AA169" s="123"/>
      <c r="AB169" s="124">
        <f>IF(OR(N169&lt;&gt;"Umbrella Contract",AA169=""),0,M169*Config!$C$22)</f>
        <v>0</v>
      </c>
      <c r="AC169" s="132"/>
      <c r="AD169" s="125">
        <f>IF(OR(AC169="",AC169=O169,AC169=S169,AC169=W169),0,M169*Config!$C$23)</f>
        <v>0</v>
      </c>
      <c r="AE169" s="133"/>
      <c r="AF169" s="127">
        <f>IF(OR(AE169="",AE169=O169,AE169=S169,AE169=W169),0,M169*Config!$C$24)</f>
        <v>0</v>
      </c>
      <c r="AG169" s="128"/>
      <c r="AH169" s="129">
        <v>1</v>
      </c>
      <c r="AI169" s="130">
        <f>IF(AG169="",0,M169*Config!$C$26*AH169)</f>
        <v>0</v>
      </c>
      <c r="AJ169" s="128"/>
      <c r="AK169" s="129">
        <v>0</v>
      </c>
      <c r="AL169" s="130">
        <f>IF(AJ169="",0,M169*Config!$C$26*AK169)</f>
        <v>0</v>
      </c>
      <c r="AM169" s="128"/>
      <c r="AN169" s="129">
        <v>0</v>
      </c>
      <c r="AO169" s="130">
        <f>IF(AM169="",0,M169*Config!$C$26*AN169)</f>
        <v>0</v>
      </c>
      <c r="AP169" s="107" t="str">
        <f t="shared" si="4"/>
        <v/>
      </c>
      <c r="AQ169" s="131">
        <f t="shared" si="5"/>
        <v>0</v>
      </c>
      <c r="AR169" s="131">
        <f t="shared" si="6"/>
        <v>0</v>
      </c>
      <c r="AS169" s="131">
        <f t="shared" si="7"/>
        <v>0</v>
      </c>
    </row>
    <row r="170" spans="1:45" ht="18" customHeight="1" x14ac:dyDescent="0.45">
      <c r="A170" s="83"/>
      <c r="B170" s="84" t="str">
        <f>IF(A170&lt;&gt;"",INDEX('Raw Data'!$A$4:$A$203,A170-4+1),"")</f>
        <v/>
      </c>
      <c r="C170" s="84" t="str">
        <f>IF(A170&lt;&gt;"",INDEX('Raw Data'!$B$4:$B$203,A170-4+1),"")</f>
        <v/>
      </c>
      <c r="D170" s="84" t="str">
        <f>IF(A170&lt;&gt;"",INDEX('Raw Data'!$C$4:$C$203,A170-4+1),"")</f>
        <v/>
      </c>
      <c r="E170" s="51" t="str">
        <f>IF(A170&lt;&gt;"",INDEX('Raw Data'!$D$4:$D$203,A170-4+1),"")</f>
        <v/>
      </c>
      <c r="F170" s="84" t="str">
        <f>IF(A170&lt;&gt;"",INDEX('Raw Data'!$E$4:$E$203,A170-4+1),"")</f>
        <v/>
      </c>
      <c r="G170" s="85" t="str">
        <f>IF(A170&lt;&gt;"",INDEX('Raw Data'!$H$4:$H$203,A170-4+1),"")</f>
        <v/>
      </c>
      <c r="H170" s="86" t="str">
        <f>IF(A170&lt;&gt;"",INDEX('Raw Data'!$I$4:$I$203,A170-4+1),"")</f>
        <v/>
      </c>
      <c r="I170" s="87" t="str">
        <f>IF(A170&lt;&gt;"",INDEX('Raw Data'!$O$4:$O$203,A170-4+1),"")</f>
        <v/>
      </c>
      <c r="J170" s="88" t="str">
        <f>IF(A170&lt;&gt;"",IF(INDEX('Raw Data'!$D$4:$D$203,A170-4+1)&lt;&gt;"",INDEX('Raw Data'!$P$4:$P$203,A170-4+1),INDEX('Raw Data'!$R$4:$R$203,A170-4+1)),"")</f>
        <v/>
      </c>
      <c r="K170" s="89" t="str">
        <f>IF(A170&lt;&gt;"",IF(INDEX('Raw Data'!$Q$4:$Q$203,A170-4+1)&lt;&gt;"",INDEX('Raw Data'!$Q$4:$Q$203,A170-4+1),""),"")</f>
        <v/>
      </c>
      <c r="L170" s="89" t="str">
        <f t="shared" si="0"/>
        <v/>
      </c>
      <c r="M170" s="90">
        <f>IF(A170&lt;&gt;"",INDEX('Raw Data'!$S$4:$S$203,A170-4+1),0)</f>
        <v>0</v>
      </c>
      <c r="N170" s="91" t="s">
        <v>274</v>
      </c>
      <c r="O170" s="92"/>
      <c r="P170" s="93">
        <v>1</v>
      </c>
      <c r="Q170" s="94">
        <f>IF(O170="",0,IF(N170="Umbrella Contract",Config!$C$21,Config!$C$20))</f>
        <v>0</v>
      </c>
      <c r="R170" s="95">
        <f t="shared" si="1"/>
        <v>0</v>
      </c>
      <c r="S170" s="63"/>
      <c r="T170" s="96">
        <v>0</v>
      </c>
      <c r="U170" s="97">
        <f>IF(S170="",0,IF(N170="Umbrella Contract",Config!$C$21,Config!$C$20))</f>
        <v>0</v>
      </c>
      <c r="V170" s="95">
        <f t="shared" si="2"/>
        <v>0</v>
      </c>
      <c r="W170" s="63"/>
      <c r="X170" s="96">
        <v>0</v>
      </c>
      <c r="Y170" s="97">
        <f>IF(W170="",0,IF(N170="Umbrella Contract",Config!$C$21,Config!$C$20))</f>
        <v>0</v>
      </c>
      <c r="Z170" s="95">
        <f t="shared" si="3"/>
        <v>0</v>
      </c>
      <c r="AA170" s="98"/>
      <c r="AB170" s="99">
        <f>IF(OR(N170&lt;&gt;"Umbrella Contract",AA170=""),0,M170*Config!$C$22)</f>
        <v>0</v>
      </c>
      <c r="AC170" s="100"/>
      <c r="AD170" s="101">
        <f>IF(OR(AC170="",AC170=O170,AC170=S170,AC170=W170),0,M170*Config!$C$23)</f>
        <v>0</v>
      </c>
      <c r="AE170" s="47"/>
      <c r="AF170" s="103">
        <f>IF(OR(AE170="",AE170=O170,AE170=S170,AE170=W170),0,M170*Config!$C$24)</f>
        <v>0</v>
      </c>
      <c r="AG170" s="104"/>
      <c r="AH170" s="105">
        <v>1</v>
      </c>
      <c r="AI170" s="106">
        <f>IF(AG170="",0,M170*Config!$C$26*AH170)</f>
        <v>0</v>
      </c>
      <c r="AJ170" s="104"/>
      <c r="AK170" s="105">
        <v>0</v>
      </c>
      <c r="AL170" s="106">
        <f>IF(AJ170="",0,M170*Config!$C$26*AK170)</f>
        <v>0</v>
      </c>
      <c r="AM170" s="104"/>
      <c r="AN170" s="105">
        <v>0</v>
      </c>
      <c r="AO170" s="106">
        <f>IF(AM170="",0,M170*Config!$C$26*AN170)</f>
        <v>0</v>
      </c>
      <c r="AP170" s="107" t="str">
        <f t="shared" si="4"/>
        <v/>
      </c>
      <c r="AQ170" s="108">
        <f t="shared" si="5"/>
        <v>0</v>
      </c>
      <c r="AR170" s="108">
        <f t="shared" si="6"/>
        <v>0</v>
      </c>
      <c r="AS170" s="108">
        <f t="shared" si="7"/>
        <v>0</v>
      </c>
    </row>
    <row r="171" spans="1:45" ht="18" customHeight="1" x14ac:dyDescent="0.45">
      <c r="A171" s="83"/>
      <c r="B171" s="46" t="str">
        <f>IF(A171&lt;&gt;"",INDEX('Raw Data'!$A$4:$A$203,A171-4+1),"")</f>
        <v/>
      </c>
      <c r="C171" s="46" t="str">
        <f>IF(A171&lt;&gt;"",INDEX('Raw Data'!$B$4:$B$203,A171-4+1),"")</f>
        <v/>
      </c>
      <c r="D171" s="46" t="str">
        <f>IF(A171&lt;&gt;"",INDEX('Raw Data'!$C$4:$C$203,A171-4+1),"")</f>
        <v/>
      </c>
      <c r="E171" s="109" t="str">
        <f>IF(A171&lt;&gt;"",INDEX('Raw Data'!$D$4:$D$203,A171-4+1),"")</f>
        <v/>
      </c>
      <c r="F171" s="46" t="str">
        <f>IF(A171&lt;&gt;"",INDEX('Raw Data'!$E$4:$E$203,A171-4+1),"")</f>
        <v/>
      </c>
      <c r="G171" s="110" t="str">
        <f>IF(A171&lt;&gt;"",INDEX('Raw Data'!$H$4:$H$203,A171-4+1),"")</f>
        <v/>
      </c>
      <c r="H171" s="111" t="str">
        <f>IF(A171&lt;&gt;"",INDEX('Raw Data'!$I$4:$I$203,A171-4+1),"")</f>
        <v/>
      </c>
      <c r="I171" s="112" t="str">
        <f>IF(A171&lt;&gt;"",INDEX('Raw Data'!$O$4:$O$203,A171-4+1),"")</f>
        <v/>
      </c>
      <c r="J171" s="113" t="str">
        <f>IF(A171&lt;&gt;"",IF(INDEX('Raw Data'!$D$4:$D$203,A171-4+1)&lt;&gt;"",INDEX('Raw Data'!$P$4:$P$203,A171-4+1),INDEX('Raw Data'!$R$4:$R$203,A171-4+1)),"")</f>
        <v/>
      </c>
      <c r="K171" s="114" t="str">
        <f>IF(A171&lt;&gt;"",IF(INDEX('Raw Data'!$Q$4:$Q$203,A171-4+1)&lt;&gt;"",INDEX('Raw Data'!$Q$4:$Q$203,A171-4+1),""),"")</f>
        <v/>
      </c>
      <c r="L171" s="114" t="str">
        <f t="shared" si="0"/>
        <v/>
      </c>
      <c r="M171" s="115">
        <f>IF(A171&lt;&gt;"",INDEX('Raw Data'!$S$4:$S$203,A171-4+1),0)</f>
        <v>0</v>
      </c>
      <c r="N171" s="116" t="s">
        <v>274</v>
      </c>
      <c r="O171" s="117"/>
      <c r="P171" s="118">
        <v>1</v>
      </c>
      <c r="Q171" s="119">
        <f>IF(O171="",0,IF(N171="Umbrella Contract",Config!$C$21,Config!$C$20))</f>
        <v>0</v>
      </c>
      <c r="R171" s="120">
        <f t="shared" si="1"/>
        <v>0</v>
      </c>
      <c r="S171" s="68"/>
      <c r="T171" s="121">
        <v>0</v>
      </c>
      <c r="U171" s="122">
        <f>IF(S171="",0,IF(N171="Umbrella Contract",Config!$C$21,Config!$C$20))</f>
        <v>0</v>
      </c>
      <c r="V171" s="120">
        <f t="shared" si="2"/>
        <v>0</v>
      </c>
      <c r="W171" s="68"/>
      <c r="X171" s="121">
        <v>0</v>
      </c>
      <c r="Y171" s="122">
        <f>IF(W171="",0,IF(N171="Umbrella Contract",Config!$C$21,Config!$C$20))</f>
        <v>0</v>
      </c>
      <c r="Z171" s="120">
        <f t="shared" si="3"/>
        <v>0</v>
      </c>
      <c r="AA171" s="123"/>
      <c r="AB171" s="124">
        <f>IF(OR(N171&lt;&gt;"Umbrella Contract",AA171=""),0,M171*Config!$C$22)</f>
        <v>0</v>
      </c>
      <c r="AC171" s="132"/>
      <c r="AD171" s="125">
        <f>IF(OR(AC171="",AC171=O171,AC171=S171,AC171=W171),0,M171*Config!$C$23)</f>
        <v>0</v>
      </c>
      <c r="AE171" s="133"/>
      <c r="AF171" s="127">
        <f>IF(OR(AE171="",AE171=O171,AE171=S171,AE171=W171),0,M171*Config!$C$24)</f>
        <v>0</v>
      </c>
      <c r="AG171" s="128"/>
      <c r="AH171" s="129">
        <v>1</v>
      </c>
      <c r="AI171" s="130">
        <f>IF(AG171="",0,M171*Config!$C$26*AH171)</f>
        <v>0</v>
      </c>
      <c r="AJ171" s="128"/>
      <c r="AK171" s="129">
        <v>0</v>
      </c>
      <c r="AL171" s="130">
        <f>IF(AJ171="",0,M171*Config!$C$26*AK171)</f>
        <v>0</v>
      </c>
      <c r="AM171" s="128"/>
      <c r="AN171" s="129">
        <v>0</v>
      </c>
      <c r="AO171" s="130">
        <f>IF(AM171="",0,M171*Config!$C$26*AN171)</f>
        <v>0</v>
      </c>
      <c r="AP171" s="107" t="str">
        <f t="shared" si="4"/>
        <v/>
      </c>
      <c r="AQ171" s="131">
        <f t="shared" si="5"/>
        <v>0</v>
      </c>
      <c r="AR171" s="131">
        <f t="shared" si="6"/>
        <v>0</v>
      </c>
      <c r="AS171" s="131">
        <f t="shared" si="7"/>
        <v>0</v>
      </c>
    </row>
    <row r="172" spans="1:45" ht="18" customHeight="1" x14ac:dyDescent="0.45">
      <c r="A172" s="83"/>
      <c r="B172" s="84" t="str">
        <f>IF(A172&lt;&gt;"",INDEX('Raw Data'!$A$4:$A$203,A172-4+1),"")</f>
        <v/>
      </c>
      <c r="C172" s="84" t="str">
        <f>IF(A172&lt;&gt;"",INDEX('Raw Data'!$B$4:$B$203,A172-4+1),"")</f>
        <v/>
      </c>
      <c r="D172" s="84" t="str">
        <f>IF(A172&lt;&gt;"",INDEX('Raw Data'!$C$4:$C$203,A172-4+1),"")</f>
        <v/>
      </c>
      <c r="E172" s="51" t="str">
        <f>IF(A172&lt;&gt;"",INDEX('Raw Data'!$D$4:$D$203,A172-4+1),"")</f>
        <v/>
      </c>
      <c r="F172" s="84" t="str">
        <f>IF(A172&lt;&gt;"",INDEX('Raw Data'!$E$4:$E$203,A172-4+1),"")</f>
        <v/>
      </c>
      <c r="G172" s="85" t="str">
        <f>IF(A172&lt;&gt;"",INDEX('Raw Data'!$H$4:$H$203,A172-4+1),"")</f>
        <v/>
      </c>
      <c r="H172" s="86" t="str">
        <f>IF(A172&lt;&gt;"",INDEX('Raw Data'!$I$4:$I$203,A172-4+1),"")</f>
        <v/>
      </c>
      <c r="I172" s="87" t="str">
        <f>IF(A172&lt;&gt;"",INDEX('Raw Data'!$O$4:$O$203,A172-4+1),"")</f>
        <v/>
      </c>
      <c r="J172" s="88" t="str">
        <f>IF(A172&lt;&gt;"",IF(INDEX('Raw Data'!$D$4:$D$203,A172-4+1)&lt;&gt;"",INDEX('Raw Data'!$P$4:$P$203,A172-4+1),INDEX('Raw Data'!$R$4:$R$203,A172-4+1)),"")</f>
        <v/>
      </c>
      <c r="K172" s="89" t="str">
        <f>IF(A172&lt;&gt;"",IF(INDEX('Raw Data'!$Q$4:$Q$203,A172-4+1)&lt;&gt;"",INDEX('Raw Data'!$Q$4:$Q$203,A172-4+1),""),"")</f>
        <v/>
      </c>
      <c r="L172" s="89" t="str">
        <f t="shared" si="0"/>
        <v/>
      </c>
      <c r="M172" s="90">
        <f>IF(A172&lt;&gt;"",INDEX('Raw Data'!$S$4:$S$203,A172-4+1),0)</f>
        <v>0</v>
      </c>
      <c r="N172" s="91" t="s">
        <v>274</v>
      </c>
      <c r="O172" s="92"/>
      <c r="P172" s="93">
        <v>1</v>
      </c>
      <c r="Q172" s="94">
        <f>IF(O172="",0,IF(N172="Umbrella Contract",Config!$C$21,Config!$C$20))</f>
        <v>0</v>
      </c>
      <c r="R172" s="95">
        <f t="shared" si="1"/>
        <v>0</v>
      </c>
      <c r="S172" s="63"/>
      <c r="T172" s="96">
        <v>0</v>
      </c>
      <c r="U172" s="97">
        <f>IF(S172="",0,IF(N172="Umbrella Contract",Config!$C$21,Config!$C$20))</f>
        <v>0</v>
      </c>
      <c r="V172" s="95">
        <f t="shared" si="2"/>
        <v>0</v>
      </c>
      <c r="W172" s="63"/>
      <c r="X172" s="96">
        <v>0</v>
      </c>
      <c r="Y172" s="97">
        <f>IF(W172="",0,IF(N172="Umbrella Contract",Config!$C$21,Config!$C$20))</f>
        <v>0</v>
      </c>
      <c r="Z172" s="95">
        <f t="shared" si="3"/>
        <v>0</v>
      </c>
      <c r="AA172" s="98"/>
      <c r="AB172" s="99">
        <f>IF(OR(N172&lt;&gt;"Umbrella Contract",AA172=""),0,M172*Config!$C$22)</f>
        <v>0</v>
      </c>
      <c r="AC172" s="100"/>
      <c r="AD172" s="101">
        <f>IF(OR(AC172="",AC172=O172,AC172=S172,AC172=W172),0,M172*Config!$C$23)</f>
        <v>0</v>
      </c>
      <c r="AE172" s="47"/>
      <c r="AF172" s="103">
        <f>IF(OR(AE172="",AE172=O172,AE172=S172,AE172=W172),0,M172*Config!$C$24)</f>
        <v>0</v>
      </c>
      <c r="AG172" s="104"/>
      <c r="AH172" s="105">
        <v>1</v>
      </c>
      <c r="AI172" s="106">
        <f>IF(AG172="",0,M172*Config!$C$26*AH172)</f>
        <v>0</v>
      </c>
      <c r="AJ172" s="104"/>
      <c r="AK172" s="105">
        <v>0</v>
      </c>
      <c r="AL172" s="106">
        <f>IF(AJ172="",0,M172*Config!$C$26*AK172)</f>
        <v>0</v>
      </c>
      <c r="AM172" s="104"/>
      <c r="AN172" s="105">
        <v>0</v>
      </c>
      <c r="AO172" s="106">
        <f>IF(AM172="",0,M172*Config!$C$26*AN172)</f>
        <v>0</v>
      </c>
      <c r="AP172" s="107" t="str">
        <f t="shared" si="4"/>
        <v/>
      </c>
      <c r="AQ172" s="108">
        <f t="shared" si="5"/>
        <v>0</v>
      </c>
      <c r="AR172" s="108">
        <f t="shared" si="6"/>
        <v>0</v>
      </c>
      <c r="AS172" s="108">
        <f t="shared" si="7"/>
        <v>0</v>
      </c>
    </row>
    <row r="173" spans="1:45" ht="18" customHeight="1" x14ac:dyDescent="0.45">
      <c r="A173" s="83"/>
      <c r="B173" s="46" t="str">
        <f>IF(A173&lt;&gt;"",INDEX('Raw Data'!$A$4:$A$203,A173-4+1),"")</f>
        <v/>
      </c>
      <c r="C173" s="46" t="str">
        <f>IF(A173&lt;&gt;"",INDEX('Raw Data'!$B$4:$B$203,A173-4+1),"")</f>
        <v/>
      </c>
      <c r="D173" s="46" t="str">
        <f>IF(A173&lt;&gt;"",INDEX('Raw Data'!$C$4:$C$203,A173-4+1),"")</f>
        <v/>
      </c>
      <c r="E173" s="109" t="str">
        <f>IF(A173&lt;&gt;"",INDEX('Raw Data'!$D$4:$D$203,A173-4+1),"")</f>
        <v/>
      </c>
      <c r="F173" s="46" t="str">
        <f>IF(A173&lt;&gt;"",INDEX('Raw Data'!$E$4:$E$203,A173-4+1),"")</f>
        <v/>
      </c>
      <c r="G173" s="110" t="str">
        <f>IF(A173&lt;&gt;"",INDEX('Raw Data'!$H$4:$H$203,A173-4+1),"")</f>
        <v/>
      </c>
      <c r="H173" s="111" t="str">
        <f>IF(A173&lt;&gt;"",INDEX('Raw Data'!$I$4:$I$203,A173-4+1),"")</f>
        <v/>
      </c>
      <c r="I173" s="112" t="str">
        <f>IF(A173&lt;&gt;"",INDEX('Raw Data'!$O$4:$O$203,A173-4+1),"")</f>
        <v/>
      </c>
      <c r="J173" s="113" t="str">
        <f>IF(A173&lt;&gt;"",IF(INDEX('Raw Data'!$D$4:$D$203,A173-4+1)&lt;&gt;"",INDEX('Raw Data'!$P$4:$P$203,A173-4+1),INDEX('Raw Data'!$R$4:$R$203,A173-4+1)),"")</f>
        <v/>
      </c>
      <c r="K173" s="114" t="str">
        <f>IF(A173&lt;&gt;"",IF(INDEX('Raw Data'!$Q$4:$Q$203,A173-4+1)&lt;&gt;"",INDEX('Raw Data'!$Q$4:$Q$203,A173-4+1),""),"")</f>
        <v/>
      </c>
      <c r="L173" s="114" t="str">
        <f t="shared" si="0"/>
        <v/>
      </c>
      <c r="M173" s="115">
        <f>IF(A173&lt;&gt;"",INDEX('Raw Data'!$S$4:$S$203,A173-4+1),0)</f>
        <v>0</v>
      </c>
      <c r="N173" s="116" t="s">
        <v>274</v>
      </c>
      <c r="O173" s="117"/>
      <c r="P173" s="118">
        <v>1</v>
      </c>
      <c r="Q173" s="119">
        <f>IF(O173="",0,IF(N173="Umbrella Contract",Config!$C$21,Config!$C$20))</f>
        <v>0</v>
      </c>
      <c r="R173" s="120">
        <f t="shared" si="1"/>
        <v>0</v>
      </c>
      <c r="S173" s="68"/>
      <c r="T173" s="121">
        <v>0</v>
      </c>
      <c r="U173" s="122">
        <f>IF(S173="",0,IF(N173="Umbrella Contract",Config!$C$21,Config!$C$20))</f>
        <v>0</v>
      </c>
      <c r="V173" s="120">
        <f t="shared" si="2"/>
        <v>0</v>
      </c>
      <c r="W173" s="68"/>
      <c r="X173" s="121">
        <v>0</v>
      </c>
      <c r="Y173" s="122">
        <f>IF(W173="",0,IF(N173="Umbrella Contract",Config!$C$21,Config!$C$20))</f>
        <v>0</v>
      </c>
      <c r="Z173" s="120">
        <f t="shared" si="3"/>
        <v>0</v>
      </c>
      <c r="AA173" s="123"/>
      <c r="AB173" s="124">
        <f>IF(OR(N173&lt;&gt;"Umbrella Contract",AA173=""),0,M173*Config!$C$22)</f>
        <v>0</v>
      </c>
      <c r="AC173" s="132"/>
      <c r="AD173" s="125">
        <f>IF(OR(AC173="",AC173=O173,AC173=S173,AC173=W173),0,M173*Config!$C$23)</f>
        <v>0</v>
      </c>
      <c r="AE173" s="133"/>
      <c r="AF173" s="127">
        <f>IF(OR(AE173="",AE173=O173,AE173=S173,AE173=W173),0,M173*Config!$C$24)</f>
        <v>0</v>
      </c>
      <c r="AG173" s="128"/>
      <c r="AH173" s="129">
        <v>1</v>
      </c>
      <c r="AI173" s="130">
        <f>IF(AG173="",0,M173*Config!$C$26*AH173)</f>
        <v>0</v>
      </c>
      <c r="AJ173" s="128"/>
      <c r="AK173" s="129">
        <v>0</v>
      </c>
      <c r="AL173" s="130">
        <f>IF(AJ173="",0,M173*Config!$C$26*AK173)</f>
        <v>0</v>
      </c>
      <c r="AM173" s="128"/>
      <c r="AN173" s="129">
        <v>0</v>
      </c>
      <c r="AO173" s="130">
        <f>IF(AM173="",0,M173*Config!$C$26*AN173)</f>
        <v>0</v>
      </c>
      <c r="AP173" s="107" t="str">
        <f t="shared" si="4"/>
        <v/>
      </c>
      <c r="AQ173" s="131">
        <f t="shared" si="5"/>
        <v>0</v>
      </c>
      <c r="AR173" s="131">
        <f t="shared" si="6"/>
        <v>0</v>
      </c>
      <c r="AS173" s="131">
        <f t="shared" si="7"/>
        <v>0</v>
      </c>
    </row>
    <row r="174" spans="1:45" ht="18" customHeight="1" x14ac:dyDescent="0.45">
      <c r="A174" s="83"/>
      <c r="B174" s="84" t="str">
        <f>IF(A174&lt;&gt;"",INDEX('Raw Data'!$A$4:$A$203,A174-4+1),"")</f>
        <v/>
      </c>
      <c r="C174" s="84" t="str">
        <f>IF(A174&lt;&gt;"",INDEX('Raw Data'!$B$4:$B$203,A174-4+1),"")</f>
        <v/>
      </c>
      <c r="D174" s="84" t="str">
        <f>IF(A174&lt;&gt;"",INDEX('Raw Data'!$C$4:$C$203,A174-4+1),"")</f>
        <v/>
      </c>
      <c r="E174" s="51" t="str">
        <f>IF(A174&lt;&gt;"",INDEX('Raw Data'!$D$4:$D$203,A174-4+1),"")</f>
        <v/>
      </c>
      <c r="F174" s="84" t="str">
        <f>IF(A174&lt;&gt;"",INDEX('Raw Data'!$E$4:$E$203,A174-4+1),"")</f>
        <v/>
      </c>
      <c r="G174" s="85" t="str">
        <f>IF(A174&lt;&gt;"",INDEX('Raw Data'!$H$4:$H$203,A174-4+1),"")</f>
        <v/>
      </c>
      <c r="H174" s="86" t="str">
        <f>IF(A174&lt;&gt;"",INDEX('Raw Data'!$I$4:$I$203,A174-4+1),"")</f>
        <v/>
      </c>
      <c r="I174" s="87" t="str">
        <f>IF(A174&lt;&gt;"",INDEX('Raw Data'!$O$4:$O$203,A174-4+1),"")</f>
        <v/>
      </c>
      <c r="J174" s="88" t="str">
        <f>IF(A174&lt;&gt;"",IF(INDEX('Raw Data'!$D$4:$D$203,A174-4+1)&lt;&gt;"",INDEX('Raw Data'!$P$4:$P$203,A174-4+1),INDEX('Raw Data'!$R$4:$R$203,A174-4+1)),"")</f>
        <v/>
      </c>
      <c r="K174" s="89" t="str">
        <f>IF(A174&lt;&gt;"",IF(INDEX('Raw Data'!$Q$4:$Q$203,A174-4+1)&lt;&gt;"",INDEX('Raw Data'!$Q$4:$Q$203,A174-4+1),""),"")</f>
        <v/>
      </c>
      <c r="L174" s="89" t="str">
        <f t="shared" si="0"/>
        <v/>
      </c>
      <c r="M174" s="90">
        <f>IF(A174&lt;&gt;"",INDEX('Raw Data'!$S$4:$S$203,A174-4+1),0)</f>
        <v>0</v>
      </c>
      <c r="N174" s="91" t="s">
        <v>274</v>
      </c>
      <c r="O174" s="92"/>
      <c r="P174" s="93">
        <v>1</v>
      </c>
      <c r="Q174" s="94">
        <f>IF(O174="",0,IF(N174="Umbrella Contract",Config!$C$21,Config!$C$20))</f>
        <v>0</v>
      </c>
      <c r="R174" s="95">
        <f t="shared" si="1"/>
        <v>0</v>
      </c>
      <c r="S174" s="63"/>
      <c r="T174" s="96">
        <v>0</v>
      </c>
      <c r="U174" s="97">
        <f>IF(S174="",0,IF(N174="Umbrella Contract",Config!$C$21,Config!$C$20))</f>
        <v>0</v>
      </c>
      <c r="V174" s="95">
        <f t="shared" si="2"/>
        <v>0</v>
      </c>
      <c r="W174" s="63"/>
      <c r="X174" s="96">
        <v>0</v>
      </c>
      <c r="Y174" s="97">
        <f>IF(W174="",0,IF(N174="Umbrella Contract",Config!$C$21,Config!$C$20))</f>
        <v>0</v>
      </c>
      <c r="Z174" s="95">
        <f t="shared" si="3"/>
        <v>0</v>
      </c>
      <c r="AA174" s="98"/>
      <c r="AB174" s="99">
        <f>IF(OR(N174&lt;&gt;"Umbrella Contract",AA174=""),0,M174*Config!$C$22)</f>
        <v>0</v>
      </c>
      <c r="AC174" s="100"/>
      <c r="AD174" s="101">
        <f>IF(OR(AC174="",AC174=O174,AC174=S174,AC174=W174),0,M174*Config!$C$23)</f>
        <v>0</v>
      </c>
      <c r="AE174" s="47"/>
      <c r="AF174" s="103">
        <f>IF(OR(AE174="",AE174=O174,AE174=S174,AE174=W174),0,M174*Config!$C$24)</f>
        <v>0</v>
      </c>
      <c r="AG174" s="104"/>
      <c r="AH174" s="105">
        <v>1</v>
      </c>
      <c r="AI174" s="106">
        <f>IF(AG174="",0,M174*Config!$C$26*AH174)</f>
        <v>0</v>
      </c>
      <c r="AJ174" s="104"/>
      <c r="AK174" s="105">
        <v>0</v>
      </c>
      <c r="AL174" s="106">
        <f>IF(AJ174="",0,M174*Config!$C$26*AK174)</f>
        <v>0</v>
      </c>
      <c r="AM174" s="104"/>
      <c r="AN174" s="105">
        <v>0</v>
      </c>
      <c r="AO174" s="106">
        <f>IF(AM174="",0,M174*Config!$C$26*AN174)</f>
        <v>0</v>
      </c>
      <c r="AP174" s="107" t="str">
        <f t="shared" si="4"/>
        <v/>
      </c>
      <c r="AQ174" s="108">
        <f t="shared" si="5"/>
        <v>0</v>
      </c>
      <c r="AR174" s="108">
        <f t="shared" si="6"/>
        <v>0</v>
      </c>
      <c r="AS174" s="108">
        <f t="shared" si="7"/>
        <v>0</v>
      </c>
    </row>
    <row r="175" spans="1:45" ht="18" customHeight="1" x14ac:dyDescent="0.45">
      <c r="A175" s="83"/>
      <c r="B175" s="46" t="str">
        <f>IF(A175&lt;&gt;"",INDEX('Raw Data'!$A$4:$A$203,A175-4+1),"")</f>
        <v/>
      </c>
      <c r="C175" s="46" t="str">
        <f>IF(A175&lt;&gt;"",INDEX('Raw Data'!$B$4:$B$203,A175-4+1),"")</f>
        <v/>
      </c>
      <c r="D175" s="46" t="str">
        <f>IF(A175&lt;&gt;"",INDEX('Raw Data'!$C$4:$C$203,A175-4+1),"")</f>
        <v/>
      </c>
      <c r="E175" s="109" t="str">
        <f>IF(A175&lt;&gt;"",INDEX('Raw Data'!$D$4:$D$203,A175-4+1),"")</f>
        <v/>
      </c>
      <c r="F175" s="46" t="str">
        <f>IF(A175&lt;&gt;"",INDEX('Raw Data'!$E$4:$E$203,A175-4+1),"")</f>
        <v/>
      </c>
      <c r="G175" s="110" t="str">
        <f>IF(A175&lt;&gt;"",INDEX('Raw Data'!$H$4:$H$203,A175-4+1),"")</f>
        <v/>
      </c>
      <c r="H175" s="111" t="str">
        <f>IF(A175&lt;&gt;"",INDEX('Raw Data'!$I$4:$I$203,A175-4+1),"")</f>
        <v/>
      </c>
      <c r="I175" s="112" t="str">
        <f>IF(A175&lt;&gt;"",INDEX('Raw Data'!$O$4:$O$203,A175-4+1),"")</f>
        <v/>
      </c>
      <c r="J175" s="113" t="str">
        <f>IF(A175&lt;&gt;"",IF(INDEX('Raw Data'!$D$4:$D$203,A175-4+1)&lt;&gt;"",INDEX('Raw Data'!$P$4:$P$203,A175-4+1),INDEX('Raw Data'!$R$4:$R$203,A175-4+1)),"")</f>
        <v/>
      </c>
      <c r="K175" s="114" t="str">
        <f>IF(A175&lt;&gt;"",IF(INDEX('Raw Data'!$Q$4:$Q$203,A175-4+1)&lt;&gt;"",INDEX('Raw Data'!$Q$4:$Q$203,A175-4+1),""),"")</f>
        <v/>
      </c>
      <c r="L175" s="114" t="str">
        <f t="shared" si="0"/>
        <v/>
      </c>
      <c r="M175" s="115">
        <f>IF(A175&lt;&gt;"",INDEX('Raw Data'!$S$4:$S$203,A175-4+1),0)</f>
        <v>0</v>
      </c>
      <c r="N175" s="116" t="s">
        <v>274</v>
      </c>
      <c r="O175" s="117"/>
      <c r="P175" s="118">
        <v>1</v>
      </c>
      <c r="Q175" s="119">
        <f>IF(O175="",0,IF(N175="Umbrella Contract",Config!$C$21,Config!$C$20))</f>
        <v>0</v>
      </c>
      <c r="R175" s="120">
        <f t="shared" si="1"/>
        <v>0</v>
      </c>
      <c r="S175" s="68"/>
      <c r="T175" s="121">
        <v>0</v>
      </c>
      <c r="U175" s="122">
        <f>IF(S175="",0,IF(N175="Umbrella Contract",Config!$C$21,Config!$C$20))</f>
        <v>0</v>
      </c>
      <c r="V175" s="120">
        <f t="shared" si="2"/>
        <v>0</v>
      </c>
      <c r="W175" s="68"/>
      <c r="X175" s="121">
        <v>0</v>
      </c>
      <c r="Y175" s="122">
        <f>IF(W175="",0,IF(N175="Umbrella Contract",Config!$C$21,Config!$C$20))</f>
        <v>0</v>
      </c>
      <c r="Z175" s="120">
        <f t="shared" si="3"/>
        <v>0</v>
      </c>
      <c r="AA175" s="123"/>
      <c r="AB175" s="124">
        <f>IF(OR(N175&lt;&gt;"Umbrella Contract",AA175=""),0,M175*Config!$C$22)</f>
        <v>0</v>
      </c>
      <c r="AC175" s="132"/>
      <c r="AD175" s="125">
        <f>IF(OR(AC175="",AC175=O175,AC175=S175,AC175=W175),0,M175*Config!$C$23)</f>
        <v>0</v>
      </c>
      <c r="AE175" s="133"/>
      <c r="AF175" s="127">
        <f>IF(OR(AE175="",AE175=O175,AE175=S175,AE175=W175),0,M175*Config!$C$24)</f>
        <v>0</v>
      </c>
      <c r="AG175" s="128"/>
      <c r="AH175" s="129">
        <v>1</v>
      </c>
      <c r="AI175" s="130">
        <f>IF(AG175="",0,M175*Config!$C$26*AH175)</f>
        <v>0</v>
      </c>
      <c r="AJ175" s="128"/>
      <c r="AK175" s="129">
        <v>0</v>
      </c>
      <c r="AL175" s="130">
        <f>IF(AJ175="",0,M175*Config!$C$26*AK175)</f>
        <v>0</v>
      </c>
      <c r="AM175" s="128"/>
      <c r="AN175" s="129">
        <v>0</v>
      </c>
      <c r="AO175" s="130">
        <f>IF(AM175="",0,M175*Config!$C$26*AN175)</f>
        <v>0</v>
      </c>
      <c r="AP175" s="107" t="str">
        <f t="shared" si="4"/>
        <v/>
      </c>
      <c r="AQ175" s="131">
        <f t="shared" si="5"/>
        <v>0</v>
      </c>
      <c r="AR175" s="131">
        <f t="shared" si="6"/>
        <v>0</v>
      </c>
      <c r="AS175" s="131">
        <f t="shared" si="7"/>
        <v>0</v>
      </c>
    </row>
    <row r="176" spans="1:45" ht="18" customHeight="1" x14ac:dyDescent="0.45">
      <c r="A176" s="83"/>
      <c r="B176" s="84" t="str">
        <f>IF(A176&lt;&gt;"",INDEX('Raw Data'!$A$4:$A$203,A176-4+1),"")</f>
        <v/>
      </c>
      <c r="C176" s="84" t="str">
        <f>IF(A176&lt;&gt;"",INDEX('Raw Data'!$B$4:$B$203,A176-4+1),"")</f>
        <v/>
      </c>
      <c r="D176" s="84" t="str">
        <f>IF(A176&lt;&gt;"",INDEX('Raw Data'!$C$4:$C$203,A176-4+1),"")</f>
        <v/>
      </c>
      <c r="E176" s="51" t="str">
        <f>IF(A176&lt;&gt;"",INDEX('Raw Data'!$D$4:$D$203,A176-4+1),"")</f>
        <v/>
      </c>
      <c r="F176" s="84" t="str">
        <f>IF(A176&lt;&gt;"",INDEX('Raw Data'!$E$4:$E$203,A176-4+1),"")</f>
        <v/>
      </c>
      <c r="G176" s="85" t="str">
        <f>IF(A176&lt;&gt;"",INDEX('Raw Data'!$H$4:$H$203,A176-4+1),"")</f>
        <v/>
      </c>
      <c r="H176" s="86" t="str">
        <f>IF(A176&lt;&gt;"",INDEX('Raw Data'!$I$4:$I$203,A176-4+1),"")</f>
        <v/>
      </c>
      <c r="I176" s="87" t="str">
        <f>IF(A176&lt;&gt;"",INDEX('Raw Data'!$O$4:$O$203,A176-4+1),"")</f>
        <v/>
      </c>
      <c r="J176" s="88" t="str">
        <f>IF(A176&lt;&gt;"",IF(INDEX('Raw Data'!$D$4:$D$203,A176-4+1)&lt;&gt;"",INDEX('Raw Data'!$P$4:$P$203,A176-4+1),INDEX('Raw Data'!$R$4:$R$203,A176-4+1)),"")</f>
        <v/>
      </c>
      <c r="K176" s="89" t="str">
        <f>IF(A176&lt;&gt;"",IF(INDEX('Raw Data'!$Q$4:$Q$203,A176-4+1)&lt;&gt;"",INDEX('Raw Data'!$Q$4:$Q$203,A176-4+1),""),"")</f>
        <v/>
      </c>
      <c r="L176" s="89" t="str">
        <f t="shared" si="0"/>
        <v/>
      </c>
      <c r="M176" s="90">
        <f>IF(A176&lt;&gt;"",INDEX('Raw Data'!$S$4:$S$203,A176-4+1),0)</f>
        <v>0</v>
      </c>
      <c r="N176" s="91" t="s">
        <v>274</v>
      </c>
      <c r="O176" s="92"/>
      <c r="P176" s="93">
        <v>1</v>
      </c>
      <c r="Q176" s="94">
        <f>IF(O176="",0,IF(N176="Umbrella Contract",Config!$C$21,Config!$C$20))</f>
        <v>0</v>
      </c>
      <c r="R176" s="95">
        <f t="shared" si="1"/>
        <v>0</v>
      </c>
      <c r="S176" s="63"/>
      <c r="T176" s="96">
        <v>0</v>
      </c>
      <c r="U176" s="97">
        <f>IF(S176="",0,IF(N176="Umbrella Contract",Config!$C$21,Config!$C$20))</f>
        <v>0</v>
      </c>
      <c r="V176" s="95">
        <f t="shared" si="2"/>
        <v>0</v>
      </c>
      <c r="W176" s="63"/>
      <c r="X176" s="96">
        <v>0</v>
      </c>
      <c r="Y176" s="97">
        <f>IF(W176="",0,IF(N176="Umbrella Contract",Config!$C$21,Config!$C$20))</f>
        <v>0</v>
      </c>
      <c r="Z176" s="95">
        <f t="shared" si="3"/>
        <v>0</v>
      </c>
      <c r="AA176" s="98"/>
      <c r="AB176" s="99">
        <f>IF(OR(N176&lt;&gt;"Umbrella Contract",AA176=""),0,M176*Config!$C$22)</f>
        <v>0</v>
      </c>
      <c r="AC176" s="100"/>
      <c r="AD176" s="101">
        <f>IF(OR(AC176="",AC176=O176,AC176=S176,AC176=W176),0,M176*Config!$C$23)</f>
        <v>0</v>
      </c>
      <c r="AE176" s="47"/>
      <c r="AF176" s="103">
        <f>IF(OR(AE176="",AE176=O176,AE176=S176,AE176=W176),0,M176*Config!$C$24)</f>
        <v>0</v>
      </c>
      <c r="AG176" s="104"/>
      <c r="AH176" s="105">
        <v>1</v>
      </c>
      <c r="AI176" s="106">
        <f>IF(AG176="",0,M176*Config!$C$26*AH176)</f>
        <v>0</v>
      </c>
      <c r="AJ176" s="104"/>
      <c r="AK176" s="105">
        <v>0</v>
      </c>
      <c r="AL176" s="106">
        <f>IF(AJ176="",0,M176*Config!$C$26*AK176)</f>
        <v>0</v>
      </c>
      <c r="AM176" s="104"/>
      <c r="AN176" s="105">
        <v>0</v>
      </c>
      <c r="AO176" s="106">
        <f>IF(AM176="",0,M176*Config!$C$26*AN176)</f>
        <v>0</v>
      </c>
      <c r="AP176" s="107" t="str">
        <f t="shared" si="4"/>
        <v/>
      </c>
      <c r="AQ176" s="108">
        <f t="shared" si="5"/>
        <v>0</v>
      </c>
      <c r="AR176" s="108">
        <f t="shared" si="6"/>
        <v>0</v>
      </c>
      <c r="AS176" s="108">
        <f t="shared" si="7"/>
        <v>0</v>
      </c>
    </row>
    <row r="177" spans="1:45" ht="18" customHeight="1" x14ac:dyDescent="0.45">
      <c r="A177" s="83"/>
      <c r="B177" s="46" t="str">
        <f>IF(A177&lt;&gt;"",INDEX('Raw Data'!$A$4:$A$203,A177-4+1),"")</f>
        <v/>
      </c>
      <c r="C177" s="46" t="str">
        <f>IF(A177&lt;&gt;"",INDEX('Raw Data'!$B$4:$B$203,A177-4+1),"")</f>
        <v/>
      </c>
      <c r="D177" s="46" t="str">
        <f>IF(A177&lt;&gt;"",INDEX('Raw Data'!$C$4:$C$203,A177-4+1),"")</f>
        <v/>
      </c>
      <c r="E177" s="109" t="str">
        <f>IF(A177&lt;&gt;"",INDEX('Raw Data'!$D$4:$D$203,A177-4+1),"")</f>
        <v/>
      </c>
      <c r="F177" s="46" t="str">
        <f>IF(A177&lt;&gt;"",INDEX('Raw Data'!$E$4:$E$203,A177-4+1),"")</f>
        <v/>
      </c>
      <c r="G177" s="110" t="str">
        <f>IF(A177&lt;&gt;"",INDEX('Raw Data'!$H$4:$H$203,A177-4+1),"")</f>
        <v/>
      </c>
      <c r="H177" s="111" t="str">
        <f>IF(A177&lt;&gt;"",INDEX('Raw Data'!$I$4:$I$203,A177-4+1),"")</f>
        <v/>
      </c>
      <c r="I177" s="112" t="str">
        <f>IF(A177&lt;&gt;"",INDEX('Raw Data'!$O$4:$O$203,A177-4+1),"")</f>
        <v/>
      </c>
      <c r="J177" s="113" t="str">
        <f>IF(A177&lt;&gt;"",IF(INDEX('Raw Data'!$D$4:$D$203,A177-4+1)&lt;&gt;"",INDEX('Raw Data'!$P$4:$P$203,A177-4+1),INDEX('Raw Data'!$R$4:$R$203,A177-4+1)),"")</f>
        <v/>
      </c>
      <c r="K177" s="114" t="str">
        <f>IF(A177&lt;&gt;"",IF(INDEX('Raw Data'!$Q$4:$Q$203,A177-4+1)&lt;&gt;"",INDEX('Raw Data'!$Q$4:$Q$203,A177-4+1),""),"")</f>
        <v/>
      </c>
      <c r="L177" s="114" t="str">
        <f t="shared" si="0"/>
        <v/>
      </c>
      <c r="M177" s="115">
        <f>IF(A177&lt;&gt;"",INDEX('Raw Data'!$S$4:$S$203,A177-4+1),0)</f>
        <v>0</v>
      </c>
      <c r="N177" s="116" t="s">
        <v>274</v>
      </c>
      <c r="O177" s="117"/>
      <c r="P177" s="118">
        <v>1</v>
      </c>
      <c r="Q177" s="119">
        <f>IF(O177="",0,IF(N177="Umbrella Contract",Config!$C$21,Config!$C$20))</f>
        <v>0</v>
      </c>
      <c r="R177" s="120">
        <f t="shared" si="1"/>
        <v>0</v>
      </c>
      <c r="S177" s="68"/>
      <c r="T177" s="121">
        <v>0</v>
      </c>
      <c r="U177" s="122">
        <f>IF(S177="",0,IF(N177="Umbrella Contract",Config!$C$21,Config!$C$20))</f>
        <v>0</v>
      </c>
      <c r="V177" s="120">
        <f t="shared" si="2"/>
        <v>0</v>
      </c>
      <c r="W177" s="68"/>
      <c r="X177" s="121">
        <v>0</v>
      </c>
      <c r="Y177" s="122">
        <f>IF(W177="",0,IF(N177="Umbrella Contract",Config!$C$21,Config!$C$20))</f>
        <v>0</v>
      </c>
      <c r="Z177" s="120">
        <f t="shared" si="3"/>
        <v>0</v>
      </c>
      <c r="AA177" s="123"/>
      <c r="AB177" s="124">
        <f>IF(OR(N177&lt;&gt;"Umbrella Contract",AA177=""),0,M177*Config!$C$22)</f>
        <v>0</v>
      </c>
      <c r="AC177" s="132"/>
      <c r="AD177" s="125">
        <f>IF(OR(AC177="",AC177=O177,AC177=S177,AC177=W177),0,M177*Config!$C$23)</f>
        <v>0</v>
      </c>
      <c r="AE177" s="133"/>
      <c r="AF177" s="127">
        <f>IF(OR(AE177="",AE177=O177,AE177=S177,AE177=W177),0,M177*Config!$C$24)</f>
        <v>0</v>
      </c>
      <c r="AG177" s="128"/>
      <c r="AH177" s="129">
        <v>1</v>
      </c>
      <c r="AI177" s="130">
        <f>IF(AG177="",0,M177*Config!$C$26*AH177)</f>
        <v>0</v>
      </c>
      <c r="AJ177" s="128"/>
      <c r="AK177" s="129">
        <v>0</v>
      </c>
      <c r="AL177" s="130">
        <f>IF(AJ177="",0,M177*Config!$C$26*AK177)</f>
        <v>0</v>
      </c>
      <c r="AM177" s="128"/>
      <c r="AN177" s="129">
        <v>0</v>
      </c>
      <c r="AO177" s="130">
        <f>IF(AM177="",0,M177*Config!$C$26*AN177)</f>
        <v>0</v>
      </c>
      <c r="AP177" s="107" t="str">
        <f t="shared" si="4"/>
        <v/>
      </c>
      <c r="AQ177" s="131">
        <f t="shared" si="5"/>
        <v>0</v>
      </c>
      <c r="AR177" s="131">
        <f t="shared" si="6"/>
        <v>0</v>
      </c>
      <c r="AS177" s="131">
        <f t="shared" si="7"/>
        <v>0</v>
      </c>
    </row>
    <row r="178" spans="1:45" ht="18" customHeight="1" x14ac:dyDescent="0.45">
      <c r="A178" s="83"/>
      <c r="B178" s="84" t="str">
        <f>IF(A178&lt;&gt;"",INDEX('Raw Data'!$A$4:$A$203,A178-4+1),"")</f>
        <v/>
      </c>
      <c r="C178" s="84" t="str">
        <f>IF(A178&lt;&gt;"",INDEX('Raw Data'!$B$4:$B$203,A178-4+1),"")</f>
        <v/>
      </c>
      <c r="D178" s="84" t="str">
        <f>IF(A178&lt;&gt;"",INDEX('Raw Data'!$C$4:$C$203,A178-4+1),"")</f>
        <v/>
      </c>
      <c r="E178" s="51" t="str">
        <f>IF(A178&lt;&gt;"",INDEX('Raw Data'!$D$4:$D$203,A178-4+1),"")</f>
        <v/>
      </c>
      <c r="F178" s="84" t="str">
        <f>IF(A178&lt;&gt;"",INDEX('Raw Data'!$E$4:$E$203,A178-4+1),"")</f>
        <v/>
      </c>
      <c r="G178" s="85" t="str">
        <f>IF(A178&lt;&gt;"",INDEX('Raw Data'!$H$4:$H$203,A178-4+1),"")</f>
        <v/>
      </c>
      <c r="H178" s="86" t="str">
        <f>IF(A178&lt;&gt;"",INDEX('Raw Data'!$I$4:$I$203,A178-4+1),"")</f>
        <v/>
      </c>
      <c r="I178" s="87" t="str">
        <f>IF(A178&lt;&gt;"",INDEX('Raw Data'!$O$4:$O$203,A178-4+1),"")</f>
        <v/>
      </c>
      <c r="J178" s="88" t="str">
        <f>IF(A178&lt;&gt;"",IF(INDEX('Raw Data'!$D$4:$D$203,A178-4+1)&lt;&gt;"",INDEX('Raw Data'!$P$4:$P$203,A178-4+1),INDEX('Raw Data'!$R$4:$R$203,A178-4+1)),"")</f>
        <v/>
      </c>
      <c r="K178" s="89" t="str">
        <f>IF(A178&lt;&gt;"",IF(INDEX('Raw Data'!$Q$4:$Q$203,A178-4+1)&lt;&gt;"",INDEX('Raw Data'!$Q$4:$Q$203,A178-4+1),""),"")</f>
        <v/>
      </c>
      <c r="L178" s="89" t="str">
        <f t="shared" si="0"/>
        <v/>
      </c>
      <c r="M178" s="90">
        <f>IF(A178&lt;&gt;"",INDEX('Raw Data'!$S$4:$S$203,A178-4+1),0)</f>
        <v>0</v>
      </c>
      <c r="N178" s="91" t="s">
        <v>274</v>
      </c>
      <c r="O178" s="92"/>
      <c r="P178" s="93">
        <v>1</v>
      </c>
      <c r="Q178" s="94">
        <f>IF(O178="",0,IF(N178="Umbrella Contract",Config!$C$21,Config!$C$20))</f>
        <v>0</v>
      </c>
      <c r="R178" s="95">
        <f t="shared" si="1"/>
        <v>0</v>
      </c>
      <c r="S178" s="63"/>
      <c r="T178" s="96">
        <v>0</v>
      </c>
      <c r="U178" s="97">
        <f>IF(S178="",0,IF(N178="Umbrella Contract",Config!$C$21,Config!$C$20))</f>
        <v>0</v>
      </c>
      <c r="V178" s="95">
        <f t="shared" si="2"/>
        <v>0</v>
      </c>
      <c r="W178" s="63"/>
      <c r="X178" s="96">
        <v>0</v>
      </c>
      <c r="Y178" s="97">
        <f>IF(W178="",0,IF(N178="Umbrella Contract",Config!$C$21,Config!$C$20))</f>
        <v>0</v>
      </c>
      <c r="Z178" s="95">
        <f t="shared" si="3"/>
        <v>0</v>
      </c>
      <c r="AA178" s="98"/>
      <c r="AB178" s="99">
        <f>IF(OR(N178&lt;&gt;"Umbrella Contract",AA178=""),0,M178*Config!$C$22)</f>
        <v>0</v>
      </c>
      <c r="AC178" s="100"/>
      <c r="AD178" s="101">
        <f>IF(OR(AC178="",AC178=O178,AC178=S178,AC178=W178),0,M178*Config!$C$23)</f>
        <v>0</v>
      </c>
      <c r="AE178" s="47"/>
      <c r="AF178" s="103">
        <f>IF(OR(AE178="",AE178=O178,AE178=S178,AE178=W178),0,M178*Config!$C$24)</f>
        <v>0</v>
      </c>
      <c r="AG178" s="104"/>
      <c r="AH178" s="105">
        <v>1</v>
      </c>
      <c r="AI178" s="106">
        <f>IF(AG178="",0,M178*Config!$C$26*AH178)</f>
        <v>0</v>
      </c>
      <c r="AJ178" s="104"/>
      <c r="AK178" s="105">
        <v>0</v>
      </c>
      <c r="AL178" s="106">
        <f>IF(AJ178="",0,M178*Config!$C$26*AK178)</f>
        <v>0</v>
      </c>
      <c r="AM178" s="104"/>
      <c r="AN178" s="105">
        <v>0</v>
      </c>
      <c r="AO178" s="106">
        <f>IF(AM178="",0,M178*Config!$C$26*AN178)</f>
        <v>0</v>
      </c>
      <c r="AP178" s="107" t="str">
        <f t="shared" si="4"/>
        <v/>
      </c>
      <c r="AQ178" s="108">
        <f t="shared" si="5"/>
        <v>0</v>
      </c>
      <c r="AR178" s="108">
        <f t="shared" si="6"/>
        <v>0</v>
      </c>
      <c r="AS178" s="108">
        <f t="shared" si="7"/>
        <v>0</v>
      </c>
    </row>
    <row r="179" spans="1:45" ht="18" customHeight="1" x14ac:dyDescent="0.45">
      <c r="A179" s="83"/>
      <c r="B179" s="46" t="str">
        <f>IF(A179&lt;&gt;"",INDEX('Raw Data'!$A$4:$A$203,A179-4+1),"")</f>
        <v/>
      </c>
      <c r="C179" s="46" t="str">
        <f>IF(A179&lt;&gt;"",INDEX('Raw Data'!$B$4:$B$203,A179-4+1),"")</f>
        <v/>
      </c>
      <c r="D179" s="46" t="str">
        <f>IF(A179&lt;&gt;"",INDEX('Raw Data'!$C$4:$C$203,A179-4+1),"")</f>
        <v/>
      </c>
      <c r="E179" s="109" t="str">
        <f>IF(A179&lt;&gt;"",INDEX('Raw Data'!$D$4:$D$203,A179-4+1),"")</f>
        <v/>
      </c>
      <c r="F179" s="46" t="str">
        <f>IF(A179&lt;&gt;"",INDEX('Raw Data'!$E$4:$E$203,A179-4+1),"")</f>
        <v/>
      </c>
      <c r="G179" s="110" t="str">
        <f>IF(A179&lt;&gt;"",INDEX('Raw Data'!$H$4:$H$203,A179-4+1),"")</f>
        <v/>
      </c>
      <c r="H179" s="111" t="str">
        <f>IF(A179&lt;&gt;"",INDEX('Raw Data'!$I$4:$I$203,A179-4+1),"")</f>
        <v/>
      </c>
      <c r="I179" s="112" t="str">
        <f>IF(A179&lt;&gt;"",INDEX('Raw Data'!$O$4:$O$203,A179-4+1),"")</f>
        <v/>
      </c>
      <c r="J179" s="113" t="str">
        <f>IF(A179&lt;&gt;"",IF(INDEX('Raw Data'!$D$4:$D$203,A179-4+1)&lt;&gt;"",INDEX('Raw Data'!$P$4:$P$203,A179-4+1),INDEX('Raw Data'!$R$4:$R$203,A179-4+1)),"")</f>
        <v/>
      </c>
      <c r="K179" s="114" t="str">
        <f>IF(A179&lt;&gt;"",IF(INDEX('Raw Data'!$Q$4:$Q$203,A179-4+1)&lt;&gt;"",INDEX('Raw Data'!$Q$4:$Q$203,A179-4+1),""),"")</f>
        <v/>
      </c>
      <c r="L179" s="114" t="str">
        <f t="shared" si="0"/>
        <v/>
      </c>
      <c r="M179" s="115">
        <f>IF(A179&lt;&gt;"",INDEX('Raw Data'!$S$4:$S$203,A179-4+1),0)</f>
        <v>0</v>
      </c>
      <c r="N179" s="116" t="s">
        <v>274</v>
      </c>
      <c r="O179" s="117"/>
      <c r="P179" s="118">
        <v>1</v>
      </c>
      <c r="Q179" s="119">
        <f>IF(O179="",0,IF(N179="Umbrella Contract",Config!$C$21,Config!$C$20))</f>
        <v>0</v>
      </c>
      <c r="R179" s="120">
        <f t="shared" si="1"/>
        <v>0</v>
      </c>
      <c r="S179" s="68"/>
      <c r="T179" s="121">
        <v>0</v>
      </c>
      <c r="U179" s="122">
        <f>IF(S179="",0,IF(N179="Umbrella Contract",Config!$C$21,Config!$C$20))</f>
        <v>0</v>
      </c>
      <c r="V179" s="120">
        <f t="shared" si="2"/>
        <v>0</v>
      </c>
      <c r="W179" s="68"/>
      <c r="X179" s="121">
        <v>0</v>
      </c>
      <c r="Y179" s="122">
        <f>IF(W179="",0,IF(N179="Umbrella Contract",Config!$C$21,Config!$C$20))</f>
        <v>0</v>
      </c>
      <c r="Z179" s="120">
        <f t="shared" si="3"/>
        <v>0</v>
      </c>
      <c r="AA179" s="123"/>
      <c r="AB179" s="124">
        <f>IF(OR(N179&lt;&gt;"Umbrella Contract",AA179=""),0,M179*Config!$C$22)</f>
        <v>0</v>
      </c>
      <c r="AC179" s="132"/>
      <c r="AD179" s="125">
        <f>IF(OR(AC179="",AC179=O179,AC179=S179,AC179=W179),0,M179*Config!$C$23)</f>
        <v>0</v>
      </c>
      <c r="AE179" s="133"/>
      <c r="AF179" s="127">
        <f>IF(OR(AE179="",AE179=O179,AE179=S179,AE179=W179),0,M179*Config!$C$24)</f>
        <v>0</v>
      </c>
      <c r="AG179" s="128"/>
      <c r="AH179" s="129">
        <v>1</v>
      </c>
      <c r="AI179" s="130">
        <f>IF(AG179="",0,M179*Config!$C$26*AH179)</f>
        <v>0</v>
      </c>
      <c r="AJ179" s="128"/>
      <c r="AK179" s="129">
        <v>0</v>
      </c>
      <c r="AL179" s="130">
        <f>IF(AJ179="",0,M179*Config!$C$26*AK179)</f>
        <v>0</v>
      </c>
      <c r="AM179" s="128"/>
      <c r="AN179" s="129">
        <v>0</v>
      </c>
      <c r="AO179" s="130">
        <f>IF(AM179="",0,M179*Config!$C$26*AN179)</f>
        <v>0</v>
      </c>
      <c r="AP179" s="107" t="str">
        <f t="shared" si="4"/>
        <v/>
      </c>
      <c r="AQ179" s="131">
        <f t="shared" si="5"/>
        <v>0</v>
      </c>
      <c r="AR179" s="131">
        <f t="shared" si="6"/>
        <v>0</v>
      </c>
      <c r="AS179" s="131">
        <f t="shared" si="7"/>
        <v>0</v>
      </c>
    </row>
    <row r="180" spans="1:45" ht="18" customHeight="1" x14ac:dyDescent="0.45">
      <c r="A180" s="83"/>
      <c r="B180" s="84" t="str">
        <f>IF(A180&lt;&gt;"",INDEX('Raw Data'!$A$4:$A$203,A180-4+1),"")</f>
        <v/>
      </c>
      <c r="C180" s="84" t="str">
        <f>IF(A180&lt;&gt;"",INDEX('Raw Data'!$B$4:$B$203,A180-4+1),"")</f>
        <v/>
      </c>
      <c r="D180" s="84" t="str">
        <f>IF(A180&lt;&gt;"",INDEX('Raw Data'!$C$4:$C$203,A180-4+1),"")</f>
        <v/>
      </c>
      <c r="E180" s="51" t="str">
        <f>IF(A180&lt;&gt;"",INDEX('Raw Data'!$D$4:$D$203,A180-4+1),"")</f>
        <v/>
      </c>
      <c r="F180" s="84" t="str">
        <f>IF(A180&lt;&gt;"",INDEX('Raw Data'!$E$4:$E$203,A180-4+1),"")</f>
        <v/>
      </c>
      <c r="G180" s="85" t="str">
        <f>IF(A180&lt;&gt;"",INDEX('Raw Data'!$H$4:$H$203,A180-4+1),"")</f>
        <v/>
      </c>
      <c r="H180" s="86" t="str">
        <f>IF(A180&lt;&gt;"",INDEX('Raw Data'!$I$4:$I$203,A180-4+1),"")</f>
        <v/>
      </c>
      <c r="I180" s="87" t="str">
        <f>IF(A180&lt;&gt;"",INDEX('Raw Data'!$O$4:$O$203,A180-4+1),"")</f>
        <v/>
      </c>
      <c r="J180" s="88" t="str">
        <f>IF(A180&lt;&gt;"",IF(INDEX('Raw Data'!$D$4:$D$203,A180-4+1)&lt;&gt;"",INDEX('Raw Data'!$P$4:$P$203,A180-4+1),INDEX('Raw Data'!$R$4:$R$203,A180-4+1)),"")</f>
        <v/>
      </c>
      <c r="K180" s="89" t="str">
        <f>IF(A180&lt;&gt;"",IF(INDEX('Raw Data'!$Q$4:$Q$203,A180-4+1)&lt;&gt;"",INDEX('Raw Data'!$Q$4:$Q$203,A180-4+1),""),"")</f>
        <v/>
      </c>
      <c r="L180" s="89" t="str">
        <f t="shared" si="0"/>
        <v/>
      </c>
      <c r="M180" s="90">
        <f>IF(A180&lt;&gt;"",INDEX('Raw Data'!$S$4:$S$203,A180-4+1),0)</f>
        <v>0</v>
      </c>
      <c r="N180" s="91" t="s">
        <v>274</v>
      </c>
      <c r="O180" s="92"/>
      <c r="P180" s="93">
        <v>1</v>
      </c>
      <c r="Q180" s="94">
        <f>IF(O180="",0,IF(N180="Umbrella Contract",Config!$C$21,Config!$C$20))</f>
        <v>0</v>
      </c>
      <c r="R180" s="95">
        <f t="shared" si="1"/>
        <v>0</v>
      </c>
      <c r="S180" s="63"/>
      <c r="T180" s="96">
        <v>0</v>
      </c>
      <c r="U180" s="97">
        <f>IF(S180="",0,IF(N180="Umbrella Contract",Config!$C$21,Config!$C$20))</f>
        <v>0</v>
      </c>
      <c r="V180" s="95">
        <f t="shared" si="2"/>
        <v>0</v>
      </c>
      <c r="W180" s="63"/>
      <c r="X180" s="96">
        <v>0</v>
      </c>
      <c r="Y180" s="97">
        <f>IF(W180="",0,IF(N180="Umbrella Contract",Config!$C$21,Config!$C$20))</f>
        <v>0</v>
      </c>
      <c r="Z180" s="95">
        <f t="shared" si="3"/>
        <v>0</v>
      </c>
      <c r="AA180" s="98"/>
      <c r="AB180" s="99">
        <f>IF(OR(N180&lt;&gt;"Umbrella Contract",AA180=""),0,M180*Config!$C$22)</f>
        <v>0</v>
      </c>
      <c r="AC180" s="100"/>
      <c r="AD180" s="101">
        <f>IF(OR(AC180="",AC180=O180,AC180=S180,AC180=W180),0,M180*Config!$C$23)</f>
        <v>0</v>
      </c>
      <c r="AE180" s="47"/>
      <c r="AF180" s="103">
        <f>IF(OR(AE180="",AE180=O180,AE180=S180,AE180=W180),0,M180*Config!$C$24)</f>
        <v>0</v>
      </c>
      <c r="AG180" s="104"/>
      <c r="AH180" s="105">
        <v>1</v>
      </c>
      <c r="AI180" s="106">
        <f>IF(AG180="",0,M180*Config!$C$26*AH180)</f>
        <v>0</v>
      </c>
      <c r="AJ180" s="104"/>
      <c r="AK180" s="105">
        <v>0</v>
      </c>
      <c r="AL180" s="106">
        <f>IF(AJ180="",0,M180*Config!$C$26*AK180)</f>
        <v>0</v>
      </c>
      <c r="AM180" s="104"/>
      <c r="AN180" s="105">
        <v>0</v>
      </c>
      <c r="AO180" s="106">
        <f>IF(AM180="",0,M180*Config!$C$26*AN180)</f>
        <v>0</v>
      </c>
      <c r="AP180" s="107" t="str">
        <f t="shared" si="4"/>
        <v/>
      </c>
      <c r="AQ180" s="108">
        <f t="shared" si="5"/>
        <v>0</v>
      </c>
      <c r="AR180" s="108">
        <f t="shared" si="6"/>
        <v>0</v>
      </c>
      <c r="AS180" s="108">
        <f t="shared" si="7"/>
        <v>0</v>
      </c>
    </row>
    <row r="181" spans="1:45" ht="18" customHeight="1" x14ac:dyDescent="0.45">
      <c r="A181" s="83"/>
      <c r="B181" s="46" t="str">
        <f>IF(A181&lt;&gt;"",INDEX('Raw Data'!$A$4:$A$203,A181-4+1),"")</f>
        <v/>
      </c>
      <c r="C181" s="46" t="str">
        <f>IF(A181&lt;&gt;"",INDEX('Raw Data'!$B$4:$B$203,A181-4+1),"")</f>
        <v/>
      </c>
      <c r="D181" s="46" t="str">
        <f>IF(A181&lt;&gt;"",INDEX('Raw Data'!$C$4:$C$203,A181-4+1),"")</f>
        <v/>
      </c>
      <c r="E181" s="109" t="str">
        <f>IF(A181&lt;&gt;"",INDEX('Raw Data'!$D$4:$D$203,A181-4+1),"")</f>
        <v/>
      </c>
      <c r="F181" s="46" t="str">
        <f>IF(A181&lt;&gt;"",INDEX('Raw Data'!$E$4:$E$203,A181-4+1),"")</f>
        <v/>
      </c>
      <c r="G181" s="110" t="str">
        <f>IF(A181&lt;&gt;"",INDEX('Raw Data'!$H$4:$H$203,A181-4+1),"")</f>
        <v/>
      </c>
      <c r="H181" s="111" t="str">
        <f>IF(A181&lt;&gt;"",INDEX('Raw Data'!$I$4:$I$203,A181-4+1),"")</f>
        <v/>
      </c>
      <c r="I181" s="112" t="str">
        <f>IF(A181&lt;&gt;"",INDEX('Raw Data'!$O$4:$O$203,A181-4+1),"")</f>
        <v/>
      </c>
      <c r="J181" s="113" t="str">
        <f>IF(A181&lt;&gt;"",IF(INDEX('Raw Data'!$D$4:$D$203,A181-4+1)&lt;&gt;"",INDEX('Raw Data'!$P$4:$P$203,A181-4+1),INDEX('Raw Data'!$R$4:$R$203,A181-4+1)),"")</f>
        <v/>
      </c>
      <c r="K181" s="114" t="str">
        <f>IF(A181&lt;&gt;"",IF(INDEX('Raw Data'!$Q$4:$Q$203,A181-4+1)&lt;&gt;"",INDEX('Raw Data'!$Q$4:$Q$203,A181-4+1),""),"")</f>
        <v/>
      </c>
      <c r="L181" s="114" t="str">
        <f t="shared" si="0"/>
        <v/>
      </c>
      <c r="M181" s="115">
        <f>IF(A181&lt;&gt;"",INDEX('Raw Data'!$S$4:$S$203,A181-4+1),0)</f>
        <v>0</v>
      </c>
      <c r="N181" s="116" t="s">
        <v>274</v>
      </c>
      <c r="O181" s="117"/>
      <c r="P181" s="118">
        <v>1</v>
      </c>
      <c r="Q181" s="119">
        <f>IF(O181="",0,IF(N181="Umbrella Contract",Config!$C$21,Config!$C$20))</f>
        <v>0</v>
      </c>
      <c r="R181" s="120">
        <f t="shared" si="1"/>
        <v>0</v>
      </c>
      <c r="S181" s="68"/>
      <c r="T181" s="121">
        <v>0</v>
      </c>
      <c r="U181" s="122">
        <f>IF(S181="",0,IF(N181="Umbrella Contract",Config!$C$21,Config!$C$20))</f>
        <v>0</v>
      </c>
      <c r="V181" s="120">
        <f t="shared" si="2"/>
        <v>0</v>
      </c>
      <c r="W181" s="68"/>
      <c r="X181" s="121">
        <v>0</v>
      </c>
      <c r="Y181" s="122">
        <f>IF(W181="",0,IF(N181="Umbrella Contract",Config!$C$21,Config!$C$20))</f>
        <v>0</v>
      </c>
      <c r="Z181" s="120">
        <f t="shared" si="3"/>
        <v>0</v>
      </c>
      <c r="AA181" s="123"/>
      <c r="AB181" s="124">
        <f>IF(OR(N181&lt;&gt;"Umbrella Contract",AA181=""),0,M181*Config!$C$22)</f>
        <v>0</v>
      </c>
      <c r="AC181" s="132"/>
      <c r="AD181" s="125">
        <f>IF(OR(AC181="",AC181=O181,AC181=S181,AC181=W181),0,M181*Config!$C$23)</f>
        <v>0</v>
      </c>
      <c r="AE181" s="133"/>
      <c r="AF181" s="127">
        <f>IF(OR(AE181="",AE181=O181,AE181=S181,AE181=W181),0,M181*Config!$C$24)</f>
        <v>0</v>
      </c>
      <c r="AG181" s="128"/>
      <c r="AH181" s="129">
        <v>1</v>
      </c>
      <c r="AI181" s="130">
        <f>IF(AG181="",0,M181*Config!$C$26*AH181)</f>
        <v>0</v>
      </c>
      <c r="AJ181" s="128"/>
      <c r="AK181" s="129">
        <v>0</v>
      </c>
      <c r="AL181" s="130">
        <f>IF(AJ181="",0,M181*Config!$C$26*AK181)</f>
        <v>0</v>
      </c>
      <c r="AM181" s="128"/>
      <c r="AN181" s="129">
        <v>0</v>
      </c>
      <c r="AO181" s="130">
        <f>IF(AM181="",0,M181*Config!$C$26*AN181)</f>
        <v>0</v>
      </c>
      <c r="AP181" s="107" t="str">
        <f t="shared" si="4"/>
        <v/>
      </c>
      <c r="AQ181" s="131">
        <f t="shared" si="5"/>
        <v>0</v>
      </c>
      <c r="AR181" s="131">
        <f t="shared" si="6"/>
        <v>0</v>
      </c>
      <c r="AS181" s="131">
        <f t="shared" si="7"/>
        <v>0</v>
      </c>
    </row>
    <row r="182" spans="1:45" ht="18" customHeight="1" x14ac:dyDescent="0.45">
      <c r="A182" s="83"/>
      <c r="B182" s="84" t="str">
        <f>IF(A182&lt;&gt;"",INDEX('Raw Data'!$A$4:$A$203,A182-4+1),"")</f>
        <v/>
      </c>
      <c r="C182" s="84" t="str">
        <f>IF(A182&lt;&gt;"",INDEX('Raw Data'!$B$4:$B$203,A182-4+1),"")</f>
        <v/>
      </c>
      <c r="D182" s="84" t="str">
        <f>IF(A182&lt;&gt;"",INDEX('Raw Data'!$C$4:$C$203,A182-4+1),"")</f>
        <v/>
      </c>
      <c r="E182" s="51" t="str">
        <f>IF(A182&lt;&gt;"",INDEX('Raw Data'!$D$4:$D$203,A182-4+1),"")</f>
        <v/>
      </c>
      <c r="F182" s="84" t="str">
        <f>IF(A182&lt;&gt;"",INDEX('Raw Data'!$E$4:$E$203,A182-4+1),"")</f>
        <v/>
      </c>
      <c r="G182" s="85" t="str">
        <f>IF(A182&lt;&gt;"",INDEX('Raw Data'!$H$4:$H$203,A182-4+1),"")</f>
        <v/>
      </c>
      <c r="H182" s="86" t="str">
        <f>IF(A182&lt;&gt;"",INDEX('Raw Data'!$I$4:$I$203,A182-4+1),"")</f>
        <v/>
      </c>
      <c r="I182" s="87" t="str">
        <f>IF(A182&lt;&gt;"",INDEX('Raw Data'!$O$4:$O$203,A182-4+1),"")</f>
        <v/>
      </c>
      <c r="J182" s="88" t="str">
        <f>IF(A182&lt;&gt;"",IF(INDEX('Raw Data'!$D$4:$D$203,A182-4+1)&lt;&gt;"",INDEX('Raw Data'!$P$4:$P$203,A182-4+1),INDEX('Raw Data'!$R$4:$R$203,A182-4+1)),"")</f>
        <v/>
      </c>
      <c r="K182" s="89" t="str">
        <f>IF(A182&lt;&gt;"",IF(INDEX('Raw Data'!$Q$4:$Q$203,A182-4+1)&lt;&gt;"",INDEX('Raw Data'!$Q$4:$Q$203,A182-4+1),""),"")</f>
        <v/>
      </c>
      <c r="L182" s="89" t="str">
        <f t="shared" si="0"/>
        <v/>
      </c>
      <c r="M182" s="90">
        <f>IF(A182&lt;&gt;"",INDEX('Raw Data'!$S$4:$S$203,A182-4+1),0)</f>
        <v>0</v>
      </c>
      <c r="N182" s="91" t="s">
        <v>274</v>
      </c>
      <c r="O182" s="92"/>
      <c r="P182" s="93">
        <v>1</v>
      </c>
      <c r="Q182" s="94">
        <f>IF(O182="",0,IF(N182="Umbrella Contract",Config!$C$21,Config!$C$20))</f>
        <v>0</v>
      </c>
      <c r="R182" s="95">
        <f t="shared" si="1"/>
        <v>0</v>
      </c>
      <c r="S182" s="63"/>
      <c r="T182" s="96">
        <v>0</v>
      </c>
      <c r="U182" s="97">
        <f>IF(S182="",0,IF(N182="Umbrella Contract",Config!$C$21,Config!$C$20))</f>
        <v>0</v>
      </c>
      <c r="V182" s="95">
        <f t="shared" si="2"/>
        <v>0</v>
      </c>
      <c r="W182" s="63"/>
      <c r="X182" s="96">
        <v>0</v>
      </c>
      <c r="Y182" s="97">
        <f>IF(W182="",0,IF(N182="Umbrella Contract",Config!$C$21,Config!$C$20))</f>
        <v>0</v>
      </c>
      <c r="Z182" s="95">
        <f t="shared" si="3"/>
        <v>0</v>
      </c>
      <c r="AA182" s="98"/>
      <c r="AB182" s="99">
        <f>IF(OR(N182&lt;&gt;"Umbrella Contract",AA182=""),0,M182*Config!$C$22)</f>
        <v>0</v>
      </c>
      <c r="AC182" s="100"/>
      <c r="AD182" s="101">
        <f>IF(OR(AC182="",AC182=O182,AC182=S182,AC182=W182),0,M182*Config!$C$23)</f>
        <v>0</v>
      </c>
      <c r="AE182" s="47"/>
      <c r="AF182" s="103">
        <f>IF(OR(AE182="",AE182=O182,AE182=S182,AE182=W182),0,M182*Config!$C$24)</f>
        <v>0</v>
      </c>
      <c r="AG182" s="104"/>
      <c r="AH182" s="105">
        <v>1</v>
      </c>
      <c r="AI182" s="106">
        <f>IF(AG182="",0,M182*Config!$C$26*AH182)</f>
        <v>0</v>
      </c>
      <c r="AJ182" s="104"/>
      <c r="AK182" s="105">
        <v>0</v>
      </c>
      <c r="AL182" s="106">
        <f>IF(AJ182="",0,M182*Config!$C$26*AK182)</f>
        <v>0</v>
      </c>
      <c r="AM182" s="104"/>
      <c r="AN182" s="105">
        <v>0</v>
      </c>
      <c r="AO182" s="106">
        <f>IF(AM182="",0,M182*Config!$C$26*AN182)</f>
        <v>0</v>
      </c>
      <c r="AP182" s="107" t="str">
        <f t="shared" si="4"/>
        <v/>
      </c>
      <c r="AQ182" s="108">
        <f t="shared" si="5"/>
        <v>0</v>
      </c>
      <c r="AR182" s="108">
        <f t="shared" si="6"/>
        <v>0</v>
      </c>
      <c r="AS182" s="108">
        <f t="shared" si="7"/>
        <v>0</v>
      </c>
    </row>
    <row r="183" spans="1:45" ht="18" customHeight="1" x14ac:dyDescent="0.45">
      <c r="A183" s="83"/>
      <c r="B183" s="46" t="str">
        <f>IF(A183&lt;&gt;"",INDEX('Raw Data'!$A$4:$A$203,A183-4+1),"")</f>
        <v/>
      </c>
      <c r="C183" s="46" t="str">
        <f>IF(A183&lt;&gt;"",INDEX('Raw Data'!$B$4:$B$203,A183-4+1),"")</f>
        <v/>
      </c>
      <c r="D183" s="46" t="str">
        <f>IF(A183&lt;&gt;"",INDEX('Raw Data'!$C$4:$C$203,A183-4+1),"")</f>
        <v/>
      </c>
      <c r="E183" s="109" t="str">
        <f>IF(A183&lt;&gt;"",INDEX('Raw Data'!$D$4:$D$203,A183-4+1),"")</f>
        <v/>
      </c>
      <c r="F183" s="46" t="str">
        <f>IF(A183&lt;&gt;"",INDEX('Raw Data'!$E$4:$E$203,A183-4+1),"")</f>
        <v/>
      </c>
      <c r="G183" s="110" t="str">
        <f>IF(A183&lt;&gt;"",INDEX('Raw Data'!$H$4:$H$203,A183-4+1),"")</f>
        <v/>
      </c>
      <c r="H183" s="111" t="str">
        <f>IF(A183&lt;&gt;"",INDEX('Raw Data'!$I$4:$I$203,A183-4+1),"")</f>
        <v/>
      </c>
      <c r="I183" s="112" t="str">
        <f>IF(A183&lt;&gt;"",INDEX('Raw Data'!$O$4:$O$203,A183-4+1),"")</f>
        <v/>
      </c>
      <c r="J183" s="113" t="str">
        <f>IF(A183&lt;&gt;"",IF(INDEX('Raw Data'!$D$4:$D$203,A183-4+1)&lt;&gt;"",INDEX('Raw Data'!$P$4:$P$203,A183-4+1),INDEX('Raw Data'!$R$4:$R$203,A183-4+1)),"")</f>
        <v/>
      </c>
      <c r="K183" s="114" t="str">
        <f>IF(A183&lt;&gt;"",IF(INDEX('Raw Data'!$Q$4:$Q$203,A183-4+1)&lt;&gt;"",INDEX('Raw Data'!$Q$4:$Q$203,A183-4+1),""),"")</f>
        <v/>
      </c>
      <c r="L183" s="114" t="str">
        <f t="shared" si="0"/>
        <v/>
      </c>
      <c r="M183" s="115">
        <f>IF(A183&lt;&gt;"",INDEX('Raw Data'!$S$4:$S$203,A183-4+1),0)</f>
        <v>0</v>
      </c>
      <c r="N183" s="116" t="s">
        <v>274</v>
      </c>
      <c r="O183" s="117"/>
      <c r="P183" s="118">
        <v>1</v>
      </c>
      <c r="Q183" s="119">
        <f>IF(O183="",0,IF(N183="Umbrella Contract",Config!$C$21,Config!$C$20))</f>
        <v>0</v>
      </c>
      <c r="R183" s="120">
        <f t="shared" si="1"/>
        <v>0</v>
      </c>
      <c r="S183" s="68"/>
      <c r="T183" s="121">
        <v>0</v>
      </c>
      <c r="U183" s="122">
        <f>IF(S183="",0,IF(N183="Umbrella Contract",Config!$C$21,Config!$C$20))</f>
        <v>0</v>
      </c>
      <c r="V183" s="120">
        <f t="shared" si="2"/>
        <v>0</v>
      </c>
      <c r="W183" s="68"/>
      <c r="X183" s="121">
        <v>0</v>
      </c>
      <c r="Y183" s="122">
        <f>IF(W183="",0,IF(N183="Umbrella Contract",Config!$C$21,Config!$C$20))</f>
        <v>0</v>
      </c>
      <c r="Z183" s="120">
        <f t="shared" si="3"/>
        <v>0</v>
      </c>
      <c r="AA183" s="123"/>
      <c r="AB183" s="124">
        <f>IF(OR(N183&lt;&gt;"Umbrella Contract",AA183=""),0,M183*Config!$C$22)</f>
        <v>0</v>
      </c>
      <c r="AC183" s="132"/>
      <c r="AD183" s="125">
        <f>IF(OR(AC183="",AC183=O183,AC183=S183,AC183=W183),0,M183*Config!$C$23)</f>
        <v>0</v>
      </c>
      <c r="AE183" s="133"/>
      <c r="AF183" s="127">
        <f>IF(OR(AE183="",AE183=O183,AE183=S183,AE183=W183),0,M183*Config!$C$24)</f>
        <v>0</v>
      </c>
      <c r="AG183" s="128"/>
      <c r="AH183" s="129">
        <v>1</v>
      </c>
      <c r="AI183" s="130">
        <f>IF(AG183="",0,M183*Config!$C$26*AH183)</f>
        <v>0</v>
      </c>
      <c r="AJ183" s="128"/>
      <c r="AK183" s="129">
        <v>0</v>
      </c>
      <c r="AL183" s="130">
        <f>IF(AJ183="",0,M183*Config!$C$26*AK183)</f>
        <v>0</v>
      </c>
      <c r="AM183" s="128"/>
      <c r="AN183" s="129">
        <v>0</v>
      </c>
      <c r="AO183" s="130">
        <f>IF(AM183="",0,M183*Config!$C$26*AN183)</f>
        <v>0</v>
      </c>
      <c r="AP183" s="107" t="str">
        <f t="shared" si="4"/>
        <v/>
      </c>
      <c r="AQ183" s="131">
        <f t="shared" si="5"/>
        <v>0</v>
      </c>
      <c r="AR183" s="131">
        <f t="shared" si="6"/>
        <v>0</v>
      </c>
      <c r="AS183" s="131">
        <f t="shared" si="7"/>
        <v>0</v>
      </c>
    </row>
    <row r="184" spans="1:45" ht="18" customHeight="1" x14ac:dyDescent="0.45">
      <c r="A184" s="83"/>
      <c r="B184" s="84" t="str">
        <f>IF(A184&lt;&gt;"",INDEX('Raw Data'!$A$4:$A$203,A184-4+1),"")</f>
        <v/>
      </c>
      <c r="C184" s="84" t="str">
        <f>IF(A184&lt;&gt;"",INDEX('Raw Data'!$B$4:$B$203,A184-4+1),"")</f>
        <v/>
      </c>
      <c r="D184" s="84" t="str">
        <f>IF(A184&lt;&gt;"",INDEX('Raw Data'!$C$4:$C$203,A184-4+1),"")</f>
        <v/>
      </c>
      <c r="E184" s="51" t="str">
        <f>IF(A184&lt;&gt;"",INDEX('Raw Data'!$D$4:$D$203,A184-4+1),"")</f>
        <v/>
      </c>
      <c r="F184" s="84" t="str">
        <f>IF(A184&lt;&gt;"",INDEX('Raw Data'!$E$4:$E$203,A184-4+1),"")</f>
        <v/>
      </c>
      <c r="G184" s="85" t="str">
        <f>IF(A184&lt;&gt;"",INDEX('Raw Data'!$H$4:$H$203,A184-4+1),"")</f>
        <v/>
      </c>
      <c r="H184" s="86" t="str">
        <f>IF(A184&lt;&gt;"",INDEX('Raw Data'!$I$4:$I$203,A184-4+1),"")</f>
        <v/>
      </c>
      <c r="I184" s="87" t="str">
        <f>IF(A184&lt;&gt;"",INDEX('Raw Data'!$O$4:$O$203,A184-4+1),"")</f>
        <v/>
      </c>
      <c r="J184" s="88" t="str">
        <f>IF(A184&lt;&gt;"",IF(INDEX('Raw Data'!$D$4:$D$203,A184-4+1)&lt;&gt;"",INDEX('Raw Data'!$P$4:$P$203,A184-4+1),INDEX('Raw Data'!$R$4:$R$203,A184-4+1)),"")</f>
        <v/>
      </c>
      <c r="K184" s="89" t="str">
        <f>IF(A184&lt;&gt;"",IF(INDEX('Raw Data'!$Q$4:$Q$203,A184-4+1)&lt;&gt;"",INDEX('Raw Data'!$Q$4:$Q$203,A184-4+1),""),"")</f>
        <v/>
      </c>
      <c r="L184" s="89" t="str">
        <f t="shared" si="0"/>
        <v/>
      </c>
      <c r="M184" s="90">
        <f>IF(A184&lt;&gt;"",INDEX('Raw Data'!$S$4:$S$203,A184-4+1),0)</f>
        <v>0</v>
      </c>
      <c r="N184" s="91" t="s">
        <v>274</v>
      </c>
      <c r="O184" s="92"/>
      <c r="P184" s="93">
        <v>1</v>
      </c>
      <c r="Q184" s="94">
        <f>IF(O184="",0,IF(N184="Umbrella Contract",Config!$C$21,Config!$C$20))</f>
        <v>0</v>
      </c>
      <c r="R184" s="95">
        <f t="shared" si="1"/>
        <v>0</v>
      </c>
      <c r="S184" s="63"/>
      <c r="T184" s="96">
        <v>0</v>
      </c>
      <c r="U184" s="97">
        <f>IF(S184="",0,IF(N184="Umbrella Contract",Config!$C$21,Config!$C$20))</f>
        <v>0</v>
      </c>
      <c r="V184" s="95">
        <f t="shared" si="2"/>
        <v>0</v>
      </c>
      <c r="W184" s="63"/>
      <c r="X184" s="96">
        <v>0</v>
      </c>
      <c r="Y184" s="97">
        <f>IF(W184="",0,IF(N184="Umbrella Contract",Config!$C$21,Config!$C$20))</f>
        <v>0</v>
      </c>
      <c r="Z184" s="95">
        <f t="shared" si="3"/>
        <v>0</v>
      </c>
      <c r="AA184" s="98"/>
      <c r="AB184" s="99">
        <f>IF(OR(N184&lt;&gt;"Umbrella Contract",AA184=""),0,M184*Config!$C$22)</f>
        <v>0</v>
      </c>
      <c r="AC184" s="100"/>
      <c r="AD184" s="101">
        <f>IF(OR(AC184="",AC184=O184,AC184=S184,AC184=W184),0,M184*Config!$C$23)</f>
        <v>0</v>
      </c>
      <c r="AE184" s="47"/>
      <c r="AF184" s="103">
        <f>IF(OR(AE184="",AE184=O184,AE184=S184,AE184=W184),0,M184*Config!$C$24)</f>
        <v>0</v>
      </c>
      <c r="AG184" s="104"/>
      <c r="AH184" s="105">
        <v>1</v>
      </c>
      <c r="AI184" s="106">
        <f>IF(AG184="",0,M184*Config!$C$26*AH184)</f>
        <v>0</v>
      </c>
      <c r="AJ184" s="104"/>
      <c r="AK184" s="105">
        <v>0</v>
      </c>
      <c r="AL184" s="106">
        <f>IF(AJ184="",0,M184*Config!$C$26*AK184)</f>
        <v>0</v>
      </c>
      <c r="AM184" s="104"/>
      <c r="AN184" s="105">
        <v>0</v>
      </c>
      <c r="AO184" s="106">
        <f>IF(AM184="",0,M184*Config!$C$26*AN184)</f>
        <v>0</v>
      </c>
      <c r="AP184" s="107" t="str">
        <f t="shared" si="4"/>
        <v/>
      </c>
      <c r="AQ184" s="108">
        <f t="shared" si="5"/>
        <v>0</v>
      </c>
      <c r="AR184" s="108">
        <f t="shared" si="6"/>
        <v>0</v>
      </c>
      <c r="AS184" s="108">
        <f t="shared" si="7"/>
        <v>0</v>
      </c>
    </row>
    <row r="185" spans="1:45" ht="18" customHeight="1" x14ac:dyDescent="0.45">
      <c r="A185" s="83"/>
      <c r="B185" s="46" t="str">
        <f>IF(A185&lt;&gt;"",INDEX('Raw Data'!$A$4:$A$203,A185-4+1),"")</f>
        <v/>
      </c>
      <c r="C185" s="46" t="str">
        <f>IF(A185&lt;&gt;"",INDEX('Raw Data'!$B$4:$B$203,A185-4+1),"")</f>
        <v/>
      </c>
      <c r="D185" s="46" t="str">
        <f>IF(A185&lt;&gt;"",INDEX('Raw Data'!$C$4:$C$203,A185-4+1),"")</f>
        <v/>
      </c>
      <c r="E185" s="109" t="str">
        <f>IF(A185&lt;&gt;"",INDEX('Raw Data'!$D$4:$D$203,A185-4+1),"")</f>
        <v/>
      </c>
      <c r="F185" s="46" t="str">
        <f>IF(A185&lt;&gt;"",INDEX('Raw Data'!$E$4:$E$203,A185-4+1),"")</f>
        <v/>
      </c>
      <c r="G185" s="110" t="str">
        <f>IF(A185&lt;&gt;"",INDEX('Raw Data'!$H$4:$H$203,A185-4+1),"")</f>
        <v/>
      </c>
      <c r="H185" s="111" t="str">
        <f>IF(A185&lt;&gt;"",INDEX('Raw Data'!$I$4:$I$203,A185-4+1),"")</f>
        <v/>
      </c>
      <c r="I185" s="112" t="str">
        <f>IF(A185&lt;&gt;"",INDEX('Raw Data'!$O$4:$O$203,A185-4+1),"")</f>
        <v/>
      </c>
      <c r="J185" s="113" t="str">
        <f>IF(A185&lt;&gt;"",IF(INDEX('Raw Data'!$D$4:$D$203,A185-4+1)&lt;&gt;"",INDEX('Raw Data'!$P$4:$P$203,A185-4+1),INDEX('Raw Data'!$R$4:$R$203,A185-4+1)),"")</f>
        <v/>
      </c>
      <c r="K185" s="114" t="str">
        <f>IF(A185&lt;&gt;"",IF(INDEX('Raw Data'!$Q$4:$Q$203,A185-4+1)&lt;&gt;"",INDEX('Raw Data'!$Q$4:$Q$203,A185-4+1),""),"")</f>
        <v/>
      </c>
      <c r="L185" s="114" t="str">
        <f t="shared" si="0"/>
        <v/>
      </c>
      <c r="M185" s="115">
        <f>IF(A185&lt;&gt;"",INDEX('Raw Data'!$S$4:$S$203,A185-4+1),0)</f>
        <v>0</v>
      </c>
      <c r="N185" s="116" t="s">
        <v>274</v>
      </c>
      <c r="O185" s="117"/>
      <c r="P185" s="118">
        <v>1</v>
      </c>
      <c r="Q185" s="119">
        <f>IF(O185="",0,IF(N185="Umbrella Contract",Config!$C$21,Config!$C$20))</f>
        <v>0</v>
      </c>
      <c r="R185" s="120">
        <f t="shared" si="1"/>
        <v>0</v>
      </c>
      <c r="S185" s="68"/>
      <c r="T185" s="121">
        <v>0</v>
      </c>
      <c r="U185" s="122">
        <f>IF(S185="",0,IF(N185="Umbrella Contract",Config!$C$21,Config!$C$20))</f>
        <v>0</v>
      </c>
      <c r="V185" s="120">
        <f t="shared" si="2"/>
        <v>0</v>
      </c>
      <c r="W185" s="68"/>
      <c r="X185" s="121">
        <v>0</v>
      </c>
      <c r="Y185" s="122">
        <f>IF(W185="",0,IF(N185="Umbrella Contract",Config!$C$21,Config!$C$20))</f>
        <v>0</v>
      </c>
      <c r="Z185" s="120">
        <f t="shared" si="3"/>
        <v>0</v>
      </c>
      <c r="AA185" s="123"/>
      <c r="AB185" s="124">
        <f>IF(OR(N185&lt;&gt;"Umbrella Contract",AA185=""),0,M185*Config!$C$22)</f>
        <v>0</v>
      </c>
      <c r="AC185" s="132"/>
      <c r="AD185" s="125">
        <f>IF(OR(AC185="",AC185=O185,AC185=S185,AC185=W185),0,M185*Config!$C$23)</f>
        <v>0</v>
      </c>
      <c r="AE185" s="133"/>
      <c r="AF185" s="127">
        <f>IF(OR(AE185="",AE185=O185,AE185=S185,AE185=W185),0,M185*Config!$C$24)</f>
        <v>0</v>
      </c>
      <c r="AG185" s="128"/>
      <c r="AH185" s="129">
        <v>1</v>
      </c>
      <c r="AI185" s="130">
        <f>IF(AG185="",0,M185*Config!$C$26*AH185)</f>
        <v>0</v>
      </c>
      <c r="AJ185" s="128"/>
      <c r="AK185" s="129">
        <v>0</v>
      </c>
      <c r="AL185" s="130">
        <f>IF(AJ185="",0,M185*Config!$C$26*AK185)</f>
        <v>0</v>
      </c>
      <c r="AM185" s="128"/>
      <c r="AN185" s="129">
        <v>0</v>
      </c>
      <c r="AO185" s="130">
        <f>IF(AM185="",0,M185*Config!$C$26*AN185)</f>
        <v>0</v>
      </c>
      <c r="AP185" s="107" t="str">
        <f t="shared" si="4"/>
        <v/>
      </c>
      <c r="AQ185" s="131">
        <f t="shared" si="5"/>
        <v>0</v>
      </c>
      <c r="AR185" s="131">
        <f t="shared" si="6"/>
        <v>0</v>
      </c>
      <c r="AS185" s="131">
        <f t="shared" si="7"/>
        <v>0</v>
      </c>
    </row>
    <row r="186" spans="1:45" ht="18" customHeight="1" x14ac:dyDescent="0.45">
      <c r="A186" s="83"/>
      <c r="B186" s="84" t="str">
        <f>IF(A186&lt;&gt;"",INDEX('Raw Data'!$A$4:$A$203,A186-4+1),"")</f>
        <v/>
      </c>
      <c r="C186" s="84" t="str">
        <f>IF(A186&lt;&gt;"",INDEX('Raw Data'!$B$4:$B$203,A186-4+1),"")</f>
        <v/>
      </c>
      <c r="D186" s="84" t="str">
        <f>IF(A186&lt;&gt;"",INDEX('Raw Data'!$C$4:$C$203,A186-4+1),"")</f>
        <v/>
      </c>
      <c r="E186" s="51" t="str">
        <f>IF(A186&lt;&gt;"",INDEX('Raw Data'!$D$4:$D$203,A186-4+1),"")</f>
        <v/>
      </c>
      <c r="F186" s="84" t="str">
        <f>IF(A186&lt;&gt;"",INDEX('Raw Data'!$E$4:$E$203,A186-4+1),"")</f>
        <v/>
      </c>
      <c r="G186" s="85" t="str">
        <f>IF(A186&lt;&gt;"",INDEX('Raw Data'!$H$4:$H$203,A186-4+1),"")</f>
        <v/>
      </c>
      <c r="H186" s="86" t="str">
        <f>IF(A186&lt;&gt;"",INDEX('Raw Data'!$I$4:$I$203,A186-4+1),"")</f>
        <v/>
      </c>
      <c r="I186" s="87" t="str">
        <f>IF(A186&lt;&gt;"",INDEX('Raw Data'!$O$4:$O$203,A186-4+1),"")</f>
        <v/>
      </c>
      <c r="J186" s="88" t="str">
        <f>IF(A186&lt;&gt;"",IF(INDEX('Raw Data'!$D$4:$D$203,A186-4+1)&lt;&gt;"",INDEX('Raw Data'!$P$4:$P$203,A186-4+1),INDEX('Raw Data'!$R$4:$R$203,A186-4+1)),"")</f>
        <v/>
      </c>
      <c r="K186" s="89" t="str">
        <f>IF(A186&lt;&gt;"",IF(INDEX('Raw Data'!$Q$4:$Q$203,A186-4+1)&lt;&gt;"",INDEX('Raw Data'!$Q$4:$Q$203,A186-4+1),""),"")</f>
        <v/>
      </c>
      <c r="L186" s="89" t="str">
        <f t="shared" ref="L186:L217" si="8">IF(NOT(A186&lt;&gt;""),"",IF(EXACT(TRIM(F186),"Closed"),IF(K186="",J186,MIN(J186,K186)),J186))</f>
        <v/>
      </c>
      <c r="M186" s="90">
        <f>IF(A186&lt;&gt;"",INDEX('Raw Data'!$S$4:$S$203,A186-4+1),0)</f>
        <v>0</v>
      </c>
      <c r="N186" s="91" t="s">
        <v>274</v>
      </c>
      <c r="O186" s="92"/>
      <c r="P186" s="93">
        <v>1</v>
      </c>
      <c r="Q186" s="94">
        <f>IF(O186="",0,IF(N186="Umbrella Contract",Config!$C$21,Config!$C$20))</f>
        <v>0</v>
      </c>
      <c r="R186" s="95">
        <f t="shared" ref="R186:R217" si="9">IF(O186="",0,M186*Q186*P186)</f>
        <v>0</v>
      </c>
      <c r="S186" s="63"/>
      <c r="T186" s="96">
        <v>0</v>
      </c>
      <c r="U186" s="97">
        <f>IF(S186="",0,IF(N186="Umbrella Contract",Config!$C$21,Config!$C$20))</f>
        <v>0</v>
      </c>
      <c r="V186" s="95">
        <f t="shared" ref="V186:V217" si="10">IF(S186="",0,M186*U186*T186)</f>
        <v>0</v>
      </c>
      <c r="W186" s="63"/>
      <c r="X186" s="96">
        <v>0</v>
      </c>
      <c r="Y186" s="97">
        <f>IF(W186="",0,IF(N186="Umbrella Contract",Config!$C$21,Config!$C$20))</f>
        <v>0</v>
      </c>
      <c r="Z186" s="95">
        <f t="shared" ref="Z186:Z217" si="11">IF(W186="",0,M186*Y186*X186)</f>
        <v>0</v>
      </c>
      <c r="AA186" s="98"/>
      <c r="AB186" s="99">
        <f>IF(OR(N186&lt;&gt;"Umbrella Contract",AA186=""),0,M186*Config!$C$22)</f>
        <v>0</v>
      </c>
      <c r="AC186" s="100"/>
      <c r="AD186" s="101">
        <f>IF(OR(AC186="",AC186=O186,AC186=S186,AC186=W186),0,M186*Config!$C$23)</f>
        <v>0</v>
      </c>
      <c r="AE186" s="47"/>
      <c r="AF186" s="103">
        <f>IF(OR(AE186="",AE186=O186,AE186=S186,AE186=W186),0,M186*Config!$C$24)</f>
        <v>0</v>
      </c>
      <c r="AG186" s="104"/>
      <c r="AH186" s="105">
        <v>1</v>
      </c>
      <c r="AI186" s="106">
        <f>IF(AG186="",0,M186*Config!$C$26*AH186)</f>
        <v>0</v>
      </c>
      <c r="AJ186" s="104"/>
      <c r="AK186" s="105">
        <v>0</v>
      </c>
      <c r="AL186" s="106">
        <f>IF(AJ186="",0,M186*Config!$C$26*AK186)</f>
        <v>0</v>
      </c>
      <c r="AM186" s="104"/>
      <c r="AN186" s="105">
        <v>0</v>
      </c>
      <c r="AO186" s="106">
        <f>IF(AM186="",0,M186*Config!$C$26*AN186)</f>
        <v>0</v>
      </c>
      <c r="AP186" s="107" t="str">
        <f t="shared" ref="AP186:AP205" si="12">IF(AND(O186="",S186="",W186=""),"",P186+T186+X186)</f>
        <v/>
      </c>
      <c r="AQ186" s="108">
        <f t="shared" ref="AQ186:AQ205" si="13">IF(R186=0,0,R186-IF((R186+V186+Z186)=0,0,(AI186+AL186+AO186)*(R186/(R186+V186+Z186))))</f>
        <v>0</v>
      </c>
      <c r="AR186" s="108">
        <f t="shared" ref="AR186:AR205" si="14">IF(V186=0,0,V186-IF((R186+V186+Z186)=0,0,(AI186+AL186+AO186)*(V186/(R186+V186+Z186))))</f>
        <v>0</v>
      </c>
      <c r="AS186" s="108">
        <f t="shared" ref="AS186:AS205" si="15">IF(Z186=0,0,Z186-IF((R186+V186+Z186)=0,0,(AI186+AL186+AO186)*(Z186/(R186+V186+Z186))))</f>
        <v>0</v>
      </c>
    </row>
    <row r="187" spans="1:45" ht="18" customHeight="1" x14ac:dyDescent="0.45">
      <c r="A187" s="83"/>
      <c r="B187" s="46" t="str">
        <f>IF(A187&lt;&gt;"",INDEX('Raw Data'!$A$4:$A$203,A187-4+1),"")</f>
        <v/>
      </c>
      <c r="C187" s="46" t="str">
        <f>IF(A187&lt;&gt;"",INDEX('Raw Data'!$B$4:$B$203,A187-4+1),"")</f>
        <v/>
      </c>
      <c r="D187" s="46" t="str">
        <f>IF(A187&lt;&gt;"",INDEX('Raw Data'!$C$4:$C$203,A187-4+1),"")</f>
        <v/>
      </c>
      <c r="E187" s="109" t="str">
        <f>IF(A187&lt;&gt;"",INDEX('Raw Data'!$D$4:$D$203,A187-4+1),"")</f>
        <v/>
      </c>
      <c r="F187" s="46" t="str">
        <f>IF(A187&lt;&gt;"",INDEX('Raw Data'!$E$4:$E$203,A187-4+1),"")</f>
        <v/>
      </c>
      <c r="G187" s="110" t="str">
        <f>IF(A187&lt;&gt;"",INDEX('Raw Data'!$H$4:$H$203,A187-4+1),"")</f>
        <v/>
      </c>
      <c r="H187" s="111" t="str">
        <f>IF(A187&lt;&gt;"",INDEX('Raw Data'!$I$4:$I$203,A187-4+1),"")</f>
        <v/>
      </c>
      <c r="I187" s="112" t="str">
        <f>IF(A187&lt;&gt;"",INDEX('Raw Data'!$O$4:$O$203,A187-4+1),"")</f>
        <v/>
      </c>
      <c r="J187" s="113" t="str">
        <f>IF(A187&lt;&gt;"",IF(INDEX('Raw Data'!$D$4:$D$203,A187-4+1)&lt;&gt;"",INDEX('Raw Data'!$P$4:$P$203,A187-4+1),INDEX('Raw Data'!$R$4:$R$203,A187-4+1)),"")</f>
        <v/>
      </c>
      <c r="K187" s="114" t="str">
        <f>IF(A187&lt;&gt;"",IF(INDEX('Raw Data'!$Q$4:$Q$203,A187-4+1)&lt;&gt;"",INDEX('Raw Data'!$Q$4:$Q$203,A187-4+1),""),"")</f>
        <v/>
      </c>
      <c r="L187" s="114" t="str">
        <f t="shared" si="8"/>
        <v/>
      </c>
      <c r="M187" s="115">
        <f>IF(A187&lt;&gt;"",INDEX('Raw Data'!$S$4:$S$203,A187-4+1),0)</f>
        <v>0</v>
      </c>
      <c r="N187" s="116" t="s">
        <v>274</v>
      </c>
      <c r="O187" s="117"/>
      <c r="P187" s="118">
        <v>1</v>
      </c>
      <c r="Q187" s="119">
        <f>IF(O187="",0,IF(N187="Umbrella Contract",Config!$C$21,Config!$C$20))</f>
        <v>0</v>
      </c>
      <c r="R187" s="120">
        <f t="shared" si="9"/>
        <v>0</v>
      </c>
      <c r="S187" s="68"/>
      <c r="T187" s="121">
        <v>0</v>
      </c>
      <c r="U187" s="122">
        <f>IF(S187="",0,IF(N187="Umbrella Contract",Config!$C$21,Config!$C$20))</f>
        <v>0</v>
      </c>
      <c r="V187" s="120">
        <f t="shared" si="10"/>
        <v>0</v>
      </c>
      <c r="W187" s="68"/>
      <c r="X187" s="121">
        <v>0</v>
      </c>
      <c r="Y187" s="122">
        <f>IF(W187="",0,IF(N187="Umbrella Contract",Config!$C$21,Config!$C$20))</f>
        <v>0</v>
      </c>
      <c r="Z187" s="120">
        <f t="shared" si="11"/>
        <v>0</v>
      </c>
      <c r="AA187" s="123"/>
      <c r="AB187" s="124">
        <f>IF(OR(N187&lt;&gt;"Umbrella Contract",AA187=""),0,M187*Config!$C$22)</f>
        <v>0</v>
      </c>
      <c r="AC187" s="132"/>
      <c r="AD187" s="125">
        <f>IF(OR(AC187="",AC187=O187,AC187=S187,AC187=W187),0,M187*Config!$C$23)</f>
        <v>0</v>
      </c>
      <c r="AE187" s="133"/>
      <c r="AF187" s="127">
        <f>IF(OR(AE187="",AE187=O187,AE187=S187,AE187=W187),0,M187*Config!$C$24)</f>
        <v>0</v>
      </c>
      <c r="AG187" s="128"/>
      <c r="AH187" s="129">
        <v>1</v>
      </c>
      <c r="AI187" s="130">
        <f>IF(AG187="",0,M187*Config!$C$26*AH187)</f>
        <v>0</v>
      </c>
      <c r="AJ187" s="128"/>
      <c r="AK187" s="129">
        <v>0</v>
      </c>
      <c r="AL187" s="130">
        <f>IF(AJ187="",0,M187*Config!$C$26*AK187)</f>
        <v>0</v>
      </c>
      <c r="AM187" s="128"/>
      <c r="AN187" s="129">
        <v>0</v>
      </c>
      <c r="AO187" s="130">
        <f>IF(AM187="",0,M187*Config!$C$26*AN187)</f>
        <v>0</v>
      </c>
      <c r="AP187" s="107" t="str">
        <f t="shared" si="12"/>
        <v/>
      </c>
      <c r="AQ187" s="131">
        <f t="shared" si="13"/>
        <v>0</v>
      </c>
      <c r="AR187" s="131">
        <f t="shared" si="14"/>
        <v>0</v>
      </c>
      <c r="AS187" s="131">
        <f t="shared" si="15"/>
        <v>0</v>
      </c>
    </row>
    <row r="188" spans="1:45" ht="18" customHeight="1" x14ac:dyDescent="0.45">
      <c r="A188" s="83"/>
      <c r="B188" s="84" t="str">
        <f>IF(A188&lt;&gt;"",INDEX('Raw Data'!$A$4:$A$203,A188-4+1),"")</f>
        <v/>
      </c>
      <c r="C188" s="84" t="str">
        <f>IF(A188&lt;&gt;"",INDEX('Raw Data'!$B$4:$B$203,A188-4+1),"")</f>
        <v/>
      </c>
      <c r="D188" s="84" t="str">
        <f>IF(A188&lt;&gt;"",INDEX('Raw Data'!$C$4:$C$203,A188-4+1),"")</f>
        <v/>
      </c>
      <c r="E188" s="51" t="str">
        <f>IF(A188&lt;&gt;"",INDEX('Raw Data'!$D$4:$D$203,A188-4+1),"")</f>
        <v/>
      </c>
      <c r="F188" s="84" t="str">
        <f>IF(A188&lt;&gt;"",INDEX('Raw Data'!$E$4:$E$203,A188-4+1),"")</f>
        <v/>
      </c>
      <c r="G188" s="85" t="str">
        <f>IF(A188&lt;&gt;"",INDEX('Raw Data'!$H$4:$H$203,A188-4+1),"")</f>
        <v/>
      </c>
      <c r="H188" s="86" t="str">
        <f>IF(A188&lt;&gt;"",INDEX('Raw Data'!$I$4:$I$203,A188-4+1),"")</f>
        <v/>
      </c>
      <c r="I188" s="87" t="str">
        <f>IF(A188&lt;&gt;"",INDEX('Raw Data'!$O$4:$O$203,A188-4+1),"")</f>
        <v/>
      </c>
      <c r="J188" s="88" t="str">
        <f>IF(A188&lt;&gt;"",IF(INDEX('Raw Data'!$D$4:$D$203,A188-4+1)&lt;&gt;"",INDEX('Raw Data'!$P$4:$P$203,A188-4+1),INDEX('Raw Data'!$R$4:$R$203,A188-4+1)),"")</f>
        <v/>
      </c>
      <c r="K188" s="89" t="str">
        <f>IF(A188&lt;&gt;"",IF(INDEX('Raw Data'!$Q$4:$Q$203,A188-4+1)&lt;&gt;"",INDEX('Raw Data'!$Q$4:$Q$203,A188-4+1),""),"")</f>
        <v/>
      </c>
      <c r="L188" s="89" t="str">
        <f t="shared" si="8"/>
        <v/>
      </c>
      <c r="M188" s="90">
        <f>IF(A188&lt;&gt;"",INDEX('Raw Data'!$S$4:$S$203,A188-4+1),0)</f>
        <v>0</v>
      </c>
      <c r="N188" s="91" t="s">
        <v>274</v>
      </c>
      <c r="O188" s="92"/>
      <c r="P188" s="93">
        <v>1</v>
      </c>
      <c r="Q188" s="94">
        <f>IF(O188="",0,IF(N188="Umbrella Contract",Config!$C$21,Config!$C$20))</f>
        <v>0</v>
      </c>
      <c r="R188" s="95">
        <f t="shared" si="9"/>
        <v>0</v>
      </c>
      <c r="S188" s="63"/>
      <c r="T188" s="96">
        <v>0</v>
      </c>
      <c r="U188" s="97">
        <f>IF(S188="",0,IF(N188="Umbrella Contract",Config!$C$21,Config!$C$20))</f>
        <v>0</v>
      </c>
      <c r="V188" s="95">
        <f t="shared" si="10"/>
        <v>0</v>
      </c>
      <c r="W188" s="63"/>
      <c r="X188" s="96">
        <v>0</v>
      </c>
      <c r="Y188" s="97">
        <f>IF(W188="",0,IF(N188="Umbrella Contract",Config!$C$21,Config!$C$20))</f>
        <v>0</v>
      </c>
      <c r="Z188" s="95">
        <f t="shared" si="11"/>
        <v>0</v>
      </c>
      <c r="AA188" s="98"/>
      <c r="AB188" s="99">
        <f>IF(OR(N188&lt;&gt;"Umbrella Contract",AA188=""),0,M188*Config!$C$22)</f>
        <v>0</v>
      </c>
      <c r="AC188" s="100"/>
      <c r="AD188" s="101">
        <f>IF(OR(AC188="",AC188=O188,AC188=S188,AC188=W188),0,M188*Config!$C$23)</f>
        <v>0</v>
      </c>
      <c r="AE188" s="47"/>
      <c r="AF188" s="103">
        <f>IF(OR(AE188="",AE188=O188,AE188=S188,AE188=W188),0,M188*Config!$C$24)</f>
        <v>0</v>
      </c>
      <c r="AG188" s="104"/>
      <c r="AH188" s="105">
        <v>1</v>
      </c>
      <c r="AI188" s="106">
        <f>IF(AG188="",0,M188*Config!$C$26*AH188)</f>
        <v>0</v>
      </c>
      <c r="AJ188" s="104"/>
      <c r="AK188" s="105">
        <v>0</v>
      </c>
      <c r="AL188" s="106">
        <f>IF(AJ188="",0,M188*Config!$C$26*AK188)</f>
        <v>0</v>
      </c>
      <c r="AM188" s="104"/>
      <c r="AN188" s="105">
        <v>0</v>
      </c>
      <c r="AO188" s="106">
        <f>IF(AM188="",0,M188*Config!$C$26*AN188)</f>
        <v>0</v>
      </c>
      <c r="AP188" s="107" t="str">
        <f t="shared" si="12"/>
        <v/>
      </c>
      <c r="AQ188" s="108">
        <f t="shared" si="13"/>
        <v>0</v>
      </c>
      <c r="AR188" s="108">
        <f t="shared" si="14"/>
        <v>0</v>
      </c>
      <c r="AS188" s="108">
        <f t="shared" si="15"/>
        <v>0</v>
      </c>
    </row>
    <row r="189" spans="1:45" ht="18" customHeight="1" x14ac:dyDescent="0.45">
      <c r="A189" s="83"/>
      <c r="B189" s="46" t="str">
        <f>IF(A189&lt;&gt;"",INDEX('Raw Data'!$A$4:$A$203,A189-4+1),"")</f>
        <v/>
      </c>
      <c r="C189" s="46" t="str">
        <f>IF(A189&lt;&gt;"",INDEX('Raw Data'!$B$4:$B$203,A189-4+1),"")</f>
        <v/>
      </c>
      <c r="D189" s="46" t="str">
        <f>IF(A189&lt;&gt;"",INDEX('Raw Data'!$C$4:$C$203,A189-4+1),"")</f>
        <v/>
      </c>
      <c r="E189" s="109" t="str">
        <f>IF(A189&lt;&gt;"",INDEX('Raw Data'!$D$4:$D$203,A189-4+1),"")</f>
        <v/>
      </c>
      <c r="F189" s="46" t="str">
        <f>IF(A189&lt;&gt;"",INDEX('Raw Data'!$E$4:$E$203,A189-4+1),"")</f>
        <v/>
      </c>
      <c r="G189" s="110" t="str">
        <f>IF(A189&lt;&gt;"",INDEX('Raw Data'!$H$4:$H$203,A189-4+1),"")</f>
        <v/>
      </c>
      <c r="H189" s="111" t="str">
        <f>IF(A189&lt;&gt;"",INDEX('Raw Data'!$I$4:$I$203,A189-4+1),"")</f>
        <v/>
      </c>
      <c r="I189" s="112" t="str">
        <f>IF(A189&lt;&gt;"",INDEX('Raw Data'!$O$4:$O$203,A189-4+1),"")</f>
        <v/>
      </c>
      <c r="J189" s="113" t="str">
        <f>IF(A189&lt;&gt;"",IF(INDEX('Raw Data'!$D$4:$D$203,A189-4+1)&lt;&gt;"",INDEX('Raw Data'!$P$4:$P$203,A189-4+1),INDEX('Raw Data'!$R$4:$R$203,A189-4+1)),"")</f>
        <v/>
      </c>
      <c r="K189" s="114" t="str">
        <f>IF(A189&lt;&gt;"",IF(INDEX('Raw Data'!$Q$4:$Q$203,A189-4+1)&lt;&gt;"",INDEX('Raw Data'!$Q$4:$Q$203,A189-4+1),""),"")</f>
        <v/>
      </c>
      <c r="L189" s="114" t="str">
        <f t="shared" si="8"/>
        <v/>
      </c>
      <c r="M189" s="115">
        <f>IF(A189&lt;&gt;"",INDEX('Raw Data'!$S$4:$S$203,A189-4+1),0)</f>
        <v>0</v>
      </c>
      <c r="N189" s="116" t="s">
        <v>274</v>
      </c>
      <c r="O189" s="117"/>
      <c r="P189" s="118">
        <v>1</v>
      </c>
      <c r="Q189" s="119">
        <f>IF(O189="",0,IF(N189="Umbrella Contract",Config!$C$21,Config!$C$20))</f>
        <v>0</v>
      </c>
      <c r="R189" s="120">
        <f t="shared" si="9"/>
        <v>0</v>
      </c>
      <c r="S189" s="68"/>
      <c r="T189" s="121">
        <v>0</v>
      </c>
      <c r="U189" s="122">
        <f>IF(S189="",0,IF(N189="Umbrella Contract",Config!$C$21,Config!$C$20))</f>
        <v>0</v>
      </c>
      <c r="V189" s="120">
        <f t="shared" si="10"/>
        <v>0</v>
      </c>
      <c r="W189" s="68"/>
      <c r="X189" s="121">
        <v>0</v>
      </c>
      <c r="Y189" s="122">
        <f>IF(W189="",0,IF(N189="Umbrella Contract",Config!$C$21,Config!$C$20))</f>
        <v>0</v>
      </c>
      <c r="Z189" s="120">
        <f t="shared" si="11"/>
        <v>0</v>
      </c>
      <c r="AA189" s="123"/>
      <c r="AB189" s="124">
        <f>IF(OR(N189&lt;&gt;"Umbrella Contract",AA189=""),0,M189*Config!$C$22)</f>
        <v>0</v>
      </c>
      <c r="AC189" s="132"/>
      <c r="AD189" s="125">
        <f>IF(OR(AC189="",AC189=O189,AC189=S189,AC189=W189),0,M189*Config!$C$23)</f>
        <v>0</v>
      </c>
      <c r="AE189" s="133"/>
      <c r="AF189" s="127">
        <f>IF(OR(AE189="",AE189=O189,AE189=S189,AE189=W189),0,M189*Config!$C$24)</f>
        <v>0</v>
      </c>
      <c r="AG189" s="128"/>
      <c r="AH189" s="129">
        <v>1</v>
      </c>
      <c r="AI189" s="130">
        <f>IF(AG189="",0,M189*Config!$C$26*AH189)</f>
        <v>0</v>
      </c>
      <c r="AJ189" s="128"/>
      <c r="AK189" s="129">
        <v>0</v>
      </c>
      <c r="AL189" s="130">
        <f>IF(AJ189="",0,M189*Config!$C$26*AK189)</f>
        <v>0</v>
      </c>
      <c r="AM189" s="128"/>
      <c r="AN189" s="129">
        <v>0</v>
      </c>
      <c r="AO189" s="130">
        <f>IF(AM189="",0,M189*Config!$C$26*AN189)</f>
        <v>0</v>
      </c>
      <c r="AP189" s="107" t="str">
        <f t="shared" si="12"/>
        <v/>
      </c>
      <c r="AQ189" s="131">
        <f t="shared" si="13"/>
        <v>0</v>
      </c>
      <c r="AR189" s="131">
        <f t="shared" si="14"/>
        <v>0</v>
      </c>
      <c r="AS189" s="131">
        <f t="shared" si="15"/>
        <v>0</v>
      </c>
    </row>
    <row r="190" spans="1:45" ht="18" customHeight="1" x14ac:dyDescent="0.45">
      <c r="A190" s="83"/>
      <c r="B190" s="84" t="str">
        <f>IF(A190&lt;&gt;"",INDEX('Raw Data'!$A$4:$A$203,A190-4+1),"")</f>
        <v/>
      </c>
      <c r="C190" s="84" t="str">
        <f>IF(A190&lt;&gt;"",INDEX('Raw Data'!$B$4:$B$203,A190-4+1),"")</f>
        <v/>
      </c>
      <c r="D190" s="84" t="str">
        <f>IF(A190&lt;&gt;"",INDEX('Raw Data'!$C$4:$C$203,A190-4+1),"")</f>
        <v/>
      </c>
      <c r="E190" s="51" t="str">
        <f>IF(A190&lt;&gt;"",INDEX('Raw Data'!$D$4:$D$203,A190-4+1),"")</f>
        <v/>
      </c>
      <c r="F190" s="84" t="str">
        <f>IF(A190&lt;&gt;"",INDEX('Raw Data'!$E$4:$E$203,A190-4+1),"")</f>
        <v/>
      </c>
      <c r="G190" s="85" t="str">
        <f>IF(A190&lt;&gt;"",INDEX('Raw Data'!$H$4:$H$203,A190-4+1),"")</f>
        <v/>
      </c>
      <c r="H190" s="86" t="str">
        <f>IF(A190&lt;&gt;"",INDEX('Raw Data'!$I$4:$I$203,A190-4+1),"")</f>
        <v/>
      </c>
      <c r="I190" s="87" t="str">
        <f>IF(A190&lt;&gt;"",INDEX('Raw Data'!$O$4:$O$203,A190-4+1),"")</f>
        <v/>
      </c>
      <c r="J190" s="88" t="str">
        <f>IF(A190&lt;&gt;"",IF(INDEX('Raw Data'!$D$4:$D$203,A190-4+1)&lt;&gt;"",INDEX('Raw Data'!$P$4:$P$203,A190-4+1),INDEX('Raw Data'!$R$4:$R$203,A190-4+1)),"")</f>
        <v/>
      </c>
      <c r="K190" s="89" t="str">
        <f>IF(A190&lt;&gt;"",IF(INDEX('Raw Data'!$Q$4:$Q$203,A190-4+1)&lt;&gt;"",INDEX('Raw Data'!$Q$4:$Q$203,A190-4+1),""),"")</f>
        <v/>
      </c>
      <c r="L190" s="89" t="str">
        <f t="shared" si="8"/>
        <v/>
      </c>
      <c r="M190" s="90">
        <f>IF(A190&lt;&gt;"",INDEX('Raw Data'!$S$4:$S$203,A190-4+1),0)</f>
        <v>0</v>
      </c>
      <c r="N190" s="91" t="s">
        <v>274</v>
      </c>
      <c r="O190" s="92"/>
      <c r="P190" s="93">
        <v>1</v>
      </c>
      <c r="Q190" s="94">
        <f>IF(O190="",0,IF(N190="Umbrella Contract",Config!$C$21,Config!$C$20))</f>
        <v>0</v>
      </c>
      <c r="R190" s="95">
        <f t="shared" si="9"/>
        <v>0</v>
      </c>
      <c r="S190" s="63"/>
      <c r="T190" s="96">
        <v>0</v>
      </c>
      <c r="U190" s="97">
        <f>IF(S190="",0,IF(N190="Umbrella Contract",Config!$C$21,Config!$C$20))</f>
        <v>0</v>
      </c>
      <c r="V190" s="95">
        <f t="shared" si="10"/>
        <v>0</v>
      </c>
      <c r="W190" s="63"/>
      <c r="X190" s="96">
        <v>0</v>
      </c>
      <c r="Y190" s="97">
        <f>IF(W190="",0,IF(N190="Umbrella Contract",Config!$C$21,Config!$C$20))</f>
        <v>0</v>
      </c>
      <c r="Z190" s="95">
        <f t="shared" si="11"/>
        <v>0</v>
      </c>
      <c r="AA190" s="98"/>
      <c r="AB190" s="99">
        <f>IF(OR(N190&lt;&gt;"Umbrella Contract",AA190=""),0,M190*Config!$C$22)</f>
        <v>0</v>
      </c>
      <c r="AC190" s="100"/>
      <c r="AD190" s="101">
        <f>IF(OR(AC190="",AC190=O190,AC190=S190,AC190=W190),0,M190*Config!$C$23)</f>
        <v>0</v>
      </c>
      <c r="AE190" s="47"/>
      <c r="AF190" s="103">
        <f>IF(OR(AE190="",AE190=O190,AE190=S190,AE190=W190),0,M190*Config!$C$24)</f>
        <v>0</v>
      </c>
      <c r="AG190" s="104"/>
      <c r="AH190" s="105">
        <v>1</v>
      </c>
      <c r="AI190" s="106">
        <f>IF(AG190="",0,M190*Config!$C$26*AH190)</f>
        <v>0</v>
      </c>
      <c r="AJ190" s="104"/>
      <c r="AK190" s="105">
        <v>0</v>
      </c>
      <c r="AL190" s="106">
        <f>IF(AJ190="",0,M190*Config!$C$26*AK190)</f>
        <v>0</v>
      </c>
      <c r="AM190" s="104"/>
      <c r="AN190" s="105">
        <v>0</v>
      </c>
      <c r="AO190" s="106">
        <f>IF(AM190="",0,M190*Config!$C$26*AN190)</f>
        <v>0</v>
      </c>
      <c r="AP190" s="107" t="str">
        <f t="shared" si="12"/>
        <v/>
      </c>
      <c r="AQ190" s="108">
        <f t="shared" si="13"/>
        <v>0</v>
      </c>
      <c r="AR190" s="108">
        <f t="shared" si="14"/>
        <v>0</v>
      </c>
      <c r="AS190" s="108">
        <f t="shared" si="15"/>
        <v>0</v>
      </c>
    </row>
    <row r="191" spans="1:45" ht="18" customHeight="1" x14ac:dyDescent="0.45">
      <c r="A191" s="83"/>
      <c r="B191" s="46" t="str">
        <f>IF(A191&lt;&gt;"",INDEX('Raw Data'!$A$4:$A$203,A191-4+1),"")</f>
        <v/>
      </c>
      <c r="C191" s="46" t="str">
        <f>IF(A191&lt;&gt;"",INDEX('Raw Data'!$B$4:$B$203,A191-4+1),"")</f>
        <v/>
      </c>
      <c r="D191" s="46" t="str">
        <f>IF(A191&lt;&gt;"",INDEX('Raw Data'!$C$4:$C$203,A191-4+1),"")</f>
        <v/>
      </c>
      <c r="E191" s="109" t="str">
        <f>IF(A191&lt;&gt;"",INDEX('Raw Data'!$D$4:$D$203,A191-4+1),"")</f>
        <v/>
      </c>
      <c r="F191" s="46" t="str">
        <f>IF(A191&lt;&gt;"",INDEX('Raw Data'!$E$4:$E$203,A191-4+1),"")</f>
        <v/>
      </c>
      <c r="G191" s="110" t="str">
        <f>IF(A191&lt;&gt;"",INDEX('Raw Data'!$H$4:$H$203,A191-4+1),"")</f>
        <v/>
      </c>
      <c r="H191" s="111" t="str">
        <f>IF(A191&lt;&gt;"",INDEX('Raw Data'!$I$4:$I$203,A191-4+1),"")</f>
        <v/>
      </c>
      <c r="I191" s="112" t="str">
        <f>IF(A191&lt;&gt;"",INDEX('Raw Data'!$O$4:$O$203,A191-4+1),"")</f>
        <v/>
      </c>
      <c r="J191" s="113" t="str">
        <f>IF(A191&lt;&gt;"",IF(INDEX('Raw Data'!$D$4:$D$203,A191-4+1)&lt;&gt;"",INDEX('Raw Data'!$P$4:$P$203,A191-4+1),INDEX('Raw Data'!$R$4:$R$203,A191-4+1)),"")</f>
        <v/>
      </c>
      <c r="K191" s="114" t="str">
        <f>IF(A191&lt;&gt;"",IF(INDEX('Raw Data'!$Q$4:$Q$203,A191-4+1)&lt;&gt;"",INDEX('Raw Data'!$Q$4:$Q$203,A191-4+1),""),"")</f>
        <v/>
      </c>
      <c r="L191" s="114" t="str">
        <f t="shared" si="8"/>
        <v/>
      </c>
      <c r="M191" s="115">
        <f>IF(A191&lt;&gt;"",INDEX('Raw Data'!$S$4:$S$203,A191-4+1),0)</f>
        <v>0</v>
      </c>
      <c r="N191" s="116" t="s">
        <v>274</v>
      </c>
      <c r="O191" s="117"/>
      <c r="P191" s="118">
        <v>1</v>
      </c>
      <c r="Q191" s="119">
        <f>IF(O191="",0,IF(N191="Umbrella Contract",Config!$C$21,Config!$C$20))</f>
        <v>0</v>
      </c>
      <c r="R191" s="120">
        <f t="shared" si="9"/>
        <v>0</v>
      </c>
      <c r="S191" s="68"/>
      <c r="T191" s="121">
        <v>0</v>
      </c>
      <c r="U191" s="122">
        <f>IF(S191="",0,IF(N191="Umbrella Contract",Config!$C$21,Config!$C$20))</f>
        <v>0</v>
      </c>
      <c r="V191" s="120">
        <f t="shared" si="10"/>
        <v>0</v>
      </c>
      <c r="W191" s="68"/>
      <c r="X191" s="121">
        <v>0</v>
      </c>
      <c r="Y191" s="122">
        <f>IF(W191="",0,IF(N191="Umbrella Contract",Config!$C$21,Config!$C$20))</f>
        <v>0</v>
      </c>
      <c r="Z191" s="120">
        <f t="shared" si="11"/>
        <v>0</v>
      </c>
      <c r="AA191" s="123"/>
      <c r="AB191" s="124">
        <f>IF(OR(N191&lt;&gt;"Umbrella Contract",AA191=""),0,M191*Config!$C$22)</f>
        <v>0</v>
      </c>
      <c r="AC191" s="132"/>
      <c r="AD191" s="125">
        <f>IF(OR(AC191="",AC191=O191,AC191=S191,AC191=W191),0,M191*Config!$C$23)</f>
        <v>0</v>
      </c>
      <c r="AE191" s="133"/>
      <c r="AF191" s="127">
        <f>IF(OR(AE191="",AE191=O191,AE191=S191,AE191=W191),0,M191*Config!$C$24)</f>
        <v>0</v>
      </c>
      <c r="AG191" s="128"/>
      <c r="AH191" s="129">
        <v>1</v>
      </c>
      <c r="AI191" s="130">
        <f>IF(AG191="",0,M191*Config!$C$26*AH191)</f>
        <v>0</v>
      </c>
      <c r="AJ191" s="128"/>
      <c r="AK191" s="129">
        <v>0</v>
      </c>
      <c r="AL191" s="130">
        <f>IF(AJ191="",0,M191*Config!$C$26*AK191)</f>
        <v>0</v>
      </c>
      <c r="AM191" s="128"/>
      <c r="AN191" s="129">
        <v>0</v>
      </c>
      <c r="AO191" s="130">
        <f>IF(AM191="",0,M191*Config!$C$26*AN191)</f>
        <v>0</v>
      </c>
      <c r="AP191" s="107" t="str">
        <f t="shared" si="12"/>
        <v/>
      </c>
      <c r="AQ191" s="131">
        <f t="shared" si="13"/>
        <v>0</v>
      </c>
      <c r="AR191" s="131">
        <f t="shared" si="14"/>
        <v>0</v>
      </c>
      <c r="AS191" s="131">
        <f t="shared" si="15"/>
        <v>0</v>
      </c>
    </row>
    <row r="192" spans="1:45" ht="18" customHeight="1" x14ac:dyDescent="0.45">
      <c r="A192" s="83"/>
      <c r="B192" s="84" t="str">
        <f>IF(A192&lt;&gt;"",INDEX('Raw Data'!$A$4:$A$203,A192-4+1),"")</f>
        <v/>
      </c>
      <c r="C192" s="84" t="str">
        <f>IF(A192&lt;&gt;"",INDEX('Raw Data'!$B$4:$B$203,A192-4+1),"")</f>
        <v/>
      </c>
      <c r="D192" s="84" t="str">
        <f>IF(A192&lt;&gt;"",INDEX('Raw Data'!$C$4:$C$203,A192-4+1),"")</f>
        <v/>
      </c>
      <c r="E192" s="51" t="str">
        <f>IF(A192&lt;&gt;"",INDEX('Raw Data'!$D$4:$D$203,A192-4+1),"")</f>
        <v/>
      </c>
      <c r="F192" s="84" t="str">
        <f>IF(A192&lt;&gt;"",INDEX('Raw Data'!$E$4:$E$203,A192-4+1),"")</f>
        <v/>
      </c>
      <c r="G192" s="85" t="str">
        <f>IF(A192&lt;&gt;"",INDEX('Raw Data'!$H$4:$H$203,A192-4+1),"")</f>
        <v/>
      </c>
      <c r="H192" s="86" t="str">
        <f>IF(A192&lt;&gt;"",INDEX('Raw Data'!$I$4:$I$203,A192-4+1),"")</f>
        <v/>
      </c>
      <c r="I192" s="87" t="str">
        <f>IF(A192&lt;&gt;"",INDEX('Raw Data'!$O$4:$O$203,A192-4+1),"")</f>
        <v/>
      </c>
      <c r="J192" s="88" t="str">
        <f>IF(A192&lt;&gt;"",IF(INDEX('Raw Data'!$D$4:$D$203,A192-4+1)&lt;&gt;"",INDEX('Raw Data'!$P$4:$P$203,A192-4+1),INDEX('Raw Data'!$R$4:$R$203,A192-4+1)),"")</f>
        <v/>
      </c>
      <c r="K192" s="89" t="str">
        <f>IF(A192&lt;&gt;"",IF(INDEX('Raw Data'!$Q$4:$Q$203,A192-4+1)&lt;&gt;"",INDEX('Raw Data'!$Q$4:$Q$203,A192-4+1),""),"")</f>
        <v/>
      </c>
      <c r="L192" s="89" t="str">
        <f t="shared" si="8"/>
        <v/>
      </c>
      <c r="M192" s="90">
        <f>IF(A192&lt;&gt;"",INDEX('Raw Data'!$S$4:$S$203,A192-4+1),0)</f>
        <v>0</v>
      </c>
      <c r="N192" s="91" t="s">
        <v>274</v>
      </c>
      <c r="O192" s="92"/>
      <c r="P192" s="93">
        <v>1</v>
      </c>
      <c r="Q192" s="94">
        <f>IF(O192="",0,IF(N192="Umbrella Contract",Config!$C$21,Config!$C$20))</f>
        <v>0</v>
      </c>
      <c r="R192" s="95">
        <f t="shared" si="9"/>
        <v>0</v>
      </c>
      <c r="S192" s="63"/>
      <c r="T192" s="96">
        <v>0</v>
      </c>
      <c r="U192" s="97">
        <f>IF(S192="",0,IF(N192="Umbrella Contract",Config!$C$21,Config!$C$20))</f>
        <v>0</v>
      </c>
      <c r="V192" s="95">
        <f t="shared" si="10"/>
        <v>0</v>
      </c>
      <c r="W192" s="63"/>
      <c r="X192" s="96">
        <v>0</v>
      </c>
      <c r="Y192" s="97">
        <f>IF(W192="",0,IF(N192="Umbrella Contract",Config!$C$21,Config!$C$20))</f>
        <v>0</v>
      </c>
      <c r="Z192" s="95">
        <f t="shared" si="11"/>
        <v>0</v>
      </c>
      <c r="AA192" s="98"/>
      <c r="AB192" s="99">
        <f>IF(OR(N192&lt;&gt;"Umbrella Contract",AA192=""),0,M192*Config!$C$22)</f>
        <v>0</v>
      </c>
      <c r="AC192" s="100"/>
      <c r="AD192" s="101">
        <f>IF(OR(AC192="",AC192=O192,AC192=S192,AC192=W192),0,M192*Config!$C$23)</f>
        <v>0</v>
      </c>
      <c r="AE192" s="47"/>
      <c r="AF192" s="103">
        <f>IF(OR(AE192="",AE192=O192,AE192=S192,AE192=W192),0,M192*Config!$C$24)</f>
        <v>0</v>
      </c>
      <c r="AG192" s="104"/>
      <c r="AH192" s="105">
        <v>1</v>
      </c>
      <c r="AI192" s="106">
        <f>IF(AG192="",0,M192*Config!$C$26*AH192)</f>
        <v>0</v>
      </c>
      <c r="AJ192" s="104"/>
      <c r="AK192" s="105">
        <v>0</v>
      </c>
      <c r="AL192" s="106">
        <f>IF(AJ192="",0,M192*Config!$C$26*AK192)</f>
        <v>0</v>
      </c>
      <c r="AM192" s="104"/>
      <c r="AN192" s="105">
        <v>0</v>
      </c>
      <c r="AO192" s="106">
        <f>IF(AM192="",0,M192*Config!$C$26*AN192)</f>
        <v>0</v>
      </c>
      <c r="AP192" s="107" t="str">
        <f t="shared" si="12"/>
        <v/>
      </c>
      <c r="AQ192" s="108">
        <f t="shared" si="13"/>
        <v>0</v>
      </c>
      <c r="AR192" s="108">
        <f t="shared" si="14"/>
        <v>0</v>
      </c>
      <c r="AS192" s="108">
        <f t="shared" si="15"/>
        <v>0</v>
      </c>
    </row>
    <row r="193" spans="1:45" ht="18" customHeight="1" x14ac:dyDescent="0.45">
      <c r="A193" s="83"/>
      <c r="B193" s="46" t="str">
        <f>IF(A193&lt;&gt;"",INDEX('Raw Data'!$A$4:$A$203,A193-4+1),"")</f>
        <v/>
      </c>
      <c r="C193" s="46" t="str">
        <f>IF(A193&lt;&gt;"",INDEX('Raw Data'!$B$4:$B$203,A193-4+1),"")</f>
        <v/>
      </c>
      <c r="D193" s="46" t="str">
        <f>IF(A193&lt;&gt;"",INDEX('Raw Data'!$C$4:$C$203,A193-4+1),"")</f>
        <v/>
      </c>
      <c r="E193" s="109" t="str">
        <f>IF(A193&lt;&gt;"",INDEX('Raw Data'!$D$4:$D$203,A193-4+1),"")</f>
        <v/>
      </c>
      <c r="F193" s="46" t="str">
        <f>IF(A193&lt;&gt;"",INDEX('Raw Data'!$E$4:$E$203,A193-4+1),"")</f>
        <v/>
      </c>
      <c r="G193" s="110" t="str">
        <f>IF(A193&lt;&gt;"",INDEX('Raw Data'!$H$4:$H$203,A193-4+1),"")</f>
        <v/>
      </c>
      <c r="H193" s="111" t="str">
        <f>IF(A193&lt;&gt;"",INDEX('Raw Data'!$I$4:$I$203,A193-4+1),"")</f>
        <v/>
      </c>
      <c r="I193" s="112" t="str">
        <f>IF(A193&lt;&gt;"",INDEX('Raw Data'!$O$4:$O$203,A193-4+1),"")</f>
        <v/>
      </c>
      <c r="J193" s="113" t="str">
        <f>IF(A193&lt;&gt;"",IF(INDEX('Raw Data'!$D$4:$D$203,A193-4+1)&lt;&gt;"",INDEX('Raw Data'!$P$4:$P$203,A193-4+1),INDEX('Raw Data'!$R$4:$R$203,A193-4+1)),"")</f>
        <v/>
      </c>
      <c r="K193" s="114" t="str">
        <f>IF(A193&lt;&gt;"",IF(INDEX('Raw Data'!$Q$4:$Q$203,A193-4+1)&lt;&gt;"",INDEX('Raw Data'!$Q$4:$Q$203,A193-4+1),""),"")</f>
        <v/>
      </c>
      <c r="L193" s="114" t="str">
        <f t="shared" si="8"/>
        <v/>
      </c>
      <c r="M193" s="115">
        <f>IF(A193&lt;&gt;"",INDEX('Raw Data'!$S$4:$S$203,A193-4+1),0)</f>
        <v>0</v>
      </c>
      <c r="N193" s="116" t="s">
        <v>274</v>
      </c>
      <c r="O193" s="117"/>
      <c r="P193" s="118">
        <v>1</v>
      </c>
      <c r="Q193" s="119">
        <f>IF(O193="",0,IF(N193="Umbrella Contract",Config!$C$21,Config!$C$20))</f>
        <v>0</v>
      </c>
      <c r="R193" s="120">
        <f t="shared" si="9"/>
        <v>0</v>
      </c>
      <c r="S193" s="68"/>
      <c r="T193" s="121">
        <v>0</v>
      </c>
      <c r="U193" s="122">
        <f>IF(S193="",0,IF(N193="Umbrella Contract",Config!$C$21,Config!$C$20))</f>
        <v>0</v>
      </c>
      <c r="V193" s="120">
        <f t="shared" si="10"/>
        <v>0</v>
      </c>
      <c r="W193" s="68"/>
      <c r="X193" s="121">
        <v>0</v>
      </c>
      <c r="Y193" s="122">
        <f>IF(W193="",0,IF(N193="Umbrella Contract",Config!$C$21,Config!$C$20))</f>
        <v>0</v>
      </c>
      <c r="Z193" s="120">
        <f t="shared" si="11"/>
        <v>0</v>
      </c>
      <c r="AA193" s="123"/>
      <c r="AB193" s="124">
        <f>IF(OR(N193&lt;&gt;"Umbrella Contract",AA193=""),0,M193*Config!$C$22)</f>
        <v>0</v>
      </c>
      <c r="AC193" s="132"/>
      <c r="AD193" s="125">
        <f>IF(OR(AC193="",AC193=O193,AC193=S193,AC193=W193),0,M193*Config!$C$23)</f>
        <v>0</v>
      </c>
      <c r="AE193" s="133"/>
      <c r="AF193" s="127">
        <f>IF(OR(AE193="",AE193=O193,AE193=S193,AE193=W193),0,M193*Config!$C$24)</f>
        <v>0</v>
      </c>
      <c r="AG193" s="128"/>
      <c r="AH193" s="129">
        <v>1</v>
      </c>
      <c r="AI193" s="130">
        <f>IF(AG193="",0,M193*Config!$C$26*AH193)</f>
        <v>0</v>
      </c>
      <c r="AJ193" s="128"/>
      <c r="AK193" s="129">
        <v>0</v>
      </c>
      <c r="AL193" s="130">
        <f>IF(AJ193="",0,M193*Config!$C$26*AK193)</f>
        <v>0</v>
      </c>
      <c r="AM193" s="128"/>
      <c r="AN193" s="129">
        <v>0</v>
      </c>
      <c r="AO193" s="130">
        <f>IF(AM193="",0,M193*Config!$C$26*AN193)</f>
        <v>0</v>
      </c>
      <c r="AP193" s="107" t="str">
        <f t="shared" si="12"/>
        <v/>
      </c>
      <c r="AQ193" s="131">
        <f t="shared" si="13"/>
        <v>0</v>
      </c>
      <c r="AR193" s="131">
        <f t="shared" si="14"/>
        <v>0</v>
      </c>
      <c r="AS193" s="131">
        <f t="shared" si="15"/>
        <v>0</v>
      </c>
    </row>
    <row r="194" spans="1:45" ht="18" customHeight="1" x14ac:dyDescent="0.45">
      <c r="A194" s="83"/>
      <c r="B194" s="84" t="str">
        <f>IF(A194&lt;&gt;"",INDEX('Raw Data'!$A$4:$A$203,A194-4+1),"")</f>
        <v/>
      </c>
      <c r="C194" s="84" t="str">
        <f>IF(A194&lt;&gt;"",INDEX('Raw Data'!$B$4:$B$203,A194-4+1),"")</f>
        <v/>
      </c>
      <c r="D194" s="84" t="str">
        <f>IF(A194&lt;&gt;"",INDEX('Raw Data'!$C$4:$C$203,A194-4+1),"")</f>
        <v/>
      </c>
      <c r="E194" s="51" t="str">
        <f>IF(A194&lt;&gt;"",INDEX('Raw Data'!$D$4:$D$203,A194-4+1),"")</f>
        <v/>
      </c>
      <c r="F194" s="84" t="str">
        <f>IF(A194&lt;&gt;"",INDEX('Raw Data'!$E$4:$E$203,A194-4+1),"")</f>
        <v/>
      </c>
      <c r="G194" s="85" t="str">
        <f>IF(A194&lt;&gt;"",INDEX('Raw Data'!$H$4:$H$203,A194-4+1),"")</f>
        <v/>
      </c>
      <c r="H194" s="86" t="str">
        <f>IF(A194&lt;&gt;"",INDEX('Raw Data'!$I$4:$I$203,A194-4+1),"")</f>
        <v/>
      </c>
      <c r="I194" s="87" t="str">
        <f>IF(A194&lt;&gt;"",INDEX('Raw Data'!$O$4:$O$203,A194-4+1),"")</f>
        <v/>
      </c>
      <c r="J194" s="88" t="str">
        <f>IF(A194&lt;&gt;"",IF(INDEX('Raw Data'!$D$4:$D$203,A194-4+1)&lt;&gt;"",INDEX('Raw Data'!$P$4:$P$203,A194-4+1),INDEX('Raw Data'!$R$4:$R$203,A194-4+1)),"")</f>
        <v/>
      </c>
      <c r="K194" s="89" t="str">
        <f>IF(A194&lt;&gt;"",IF(INDEX('Raw Data'!$Q$4:$Q$203,A194-4+1)&lt;&gt;"",INDEX('Raw Data'!$Q$4:$Q$203,A194-4+1),""),"")</f>
        <v/>
      </c>
      <c r="L194" s="89" t="str">
        <f t="shared" si="8"/>
        <v/>
      </c>
      <c r="M194" s="90">
        <f>IF(A194&lt;&gt;"",INDEX('Raw Data'!$S$4:$S$203,A194-4+1),0)</f>
        <v>0</v>
      </c>
      <c r="N194" s="91" t="s">
        <v>274</v>
      </c>
      <c r="O194" s="92"/>
      <c r="P194" s="93">
        <v>1</v>
      </c>
      <c r="Q194" s="94">
        <f>IF(O194="",0,IF(N194="Umbrella Contract",Config!$C$21,Config!$C$20))</f>
        <v>0</v>
      </c>
      <c r="R194" s="95">
        <f t="shared" si="9"/>
        <v>0</v>
      </c>
      <c r="S194" s="63"/>
      <c r="T194" s="96">
        <v>0</v>
      </c>
      <c r="U194" s="97">
        <f>IF(S194="",0,IF(N194="Umbrella Contract",Config!$C$21,Config!$C$20))</f>
        <v>0</v>
      </c>
      <c r="V194" s="95">
        <f t="shared" si="10"/>
        <v>0</v>
      </c>
      <c r="W194" s="63"/>
      <c r="X194" s="96">
        <v>0</v>
      </c>
      <c r="Y194" s="97">
        <f>IF(W194="",0,IF(N194="Umbrella Contract",Config!$C$21,Config!$C$20))</f>
        <v>0</v>
      </c>
      <c r="Z194" s="95">
        <f t="shared" si="11"/>
        <v>0</v>
      </c>
      <c r="AA194" s="98"/>
      <c r="AB194" s="99">
        <f>IF(OR(N194&lt;&gt;"Umbrella Contract",AA194=""),0,M194*Config!$C$22)</f>
        <v>0</v>
      </c>
      <c r="AC194" s="100"/>
      <c r="AD194" s="101">
        <f>IF(OR(AC194="",AC194=O194,AC194=S194,AC194=W194),0,M194*Config!$C$23)</f>
        <v>0</v>
      </c>
      <c r="AE194" s="47"/>
      <c r="AF194" s="103">
        <f>IF(OR(AE194="",AE194=O194,AE194=S194,AE194=W194),0,M194*Config!$C$24)</f>
        <v>0</v>
      </c>
      <c r="AG194" s="104"/>
      <c r="AH194" s="105">
        <v>1</v>
      </c>
      <c r="AI194" s="106">
        <f>IF(AG194="",0,M194*Config!$C$26*AH194)</f>
        <v>0</v>
      </c>
      <c r="AJ194" s="104"/>
      <c r="AK194" s="105">
        <v>0</v>
      </c>
      <c r="AL194" s="106">
        <f>IF(AJ194="",0,M194*Config!$C$26*AK194)</f>
        <v>0</v>
      </c>
      <c r="AM194" s="104"/>
      <c r="AN194" s="105">
        <v>0</v>
      </c>
      <c r="AO194" s="106">
        <f>IF(AM194="",0,M194*Config!$C$26*AN194)</f>
        <v>0</v>
      </c>
      <c r="AP194" s="107" t="str">
        <f t="shared" si="12"/>
        <v/>
      </c>
      <c r="AQ194" s="108">
        <f t="shared" si="13"/>
        <v>0</v>
      </c>
      <c r="AR194" s="108">
        <f t="shared" si="14"/>
        <v>0</v>
      </c>
      <c r="AS194" s="108">
        <f t="shared" si="15"/>
        <v>0</v>
      </c>
    </row>
    <row r="195" spans="1:45" ht="18" customHeight="1" x14ac:dyDescent="0.45">
      <c r="A195" s="83"/>
      <c r="B195" s="46" t="str">
        <f>IF(A195&lt;&gt;"",INDEX('Raw Data'!$A$4:$A$203,A195-4+1),"")</f>
        <v/>
      </c>
      <c r="C195" s="46" t="str">
        <f>IF(A195&lt;&gt;"",INDEX('Raw Data'!$B$4:$B$203,A195-4+1),"")</f>
        <v/>
      </c>
      <c r="D195" s="46" t="str">
        <f>IF(A195&lt;&gt;"",INDEX('Raw Data'!$C$4:$C$203,A195-4+1),"")</f>
        <v/>
      </c>
      <c r="E195" s="109" t="str">
        <f>IF(A195&lt;&gt;"",INDEX('Raw Data'!$D$4:$D$203,A195-4+1),"")</f>
        <v/>
      </c>
      <c r="F195" s="46" t="str">
        <f>IF(A195&lt;&gt;"",INDEX('Raw Data'!$E$4:$E$203,A195-4+1),"")</f>
        <v/>
      </c>
      <c r="G195" s="110" t="str">
        <f>IF(A195&lt;&gt;"",INDEX('Raw Data'!$H$4:$H$203,A195-4+1),"")</f>
        <v/>
      </c>
      <c r="H195" s="111" t="str">
        <f>IF(A195&lt;&gt;"",INDEX('Raw Data'!$I$4:$I$203,A195-4+1),"")</f>
        <v/>
      </c>
      <c r="I195" s="112" t="str">
        <f>IF(A195&lt;&gt;"",INDEX('Raw Data'!$O$4:$O$203,A195-4+1),"")</f>
        <v/>
      </c>
      <c r="J195" s="113" t="str">
        <f>IF(A195&lt;&gt;"",IF(INDEX('Raw Data'!$D$4:$D$203,A195-4+1)&lt;&gt;"",INDEX('Raw Data'!$P$4:$P$203,A195-4+1),INDEX('Raw Data'!$R$4:$R$203,A195-4+1)),"")</f>
        <v/>
      </c>
      <c r="K195" s="114" t="str">
        <f>IF(A195&lt;&gt;"",IF(INDEX('Raw Data'!$Q$4:$Q$203,A195-4+1)&lt;&gt;"",INDEX('Raw Data'!$Q$4:$Q$203,A195-4+1),""),"")</f>
        <v/>
      </c>
      <c r="L195" s="114" t="str">
        <f t="shared" si="8"/>
        <v/>
      </c>
      <c r="M195" s="115">
        <f>IF(A195&lt;&gt;"",INDEX('Raw Data'!$S$4:$S$203,A195-4+1),0)</f>
        <v>0</v>
      </c>
      <c r="N195" s="116" t="s">
        <v>274</v>
      </c>
      <c r="O195" s="117"/>
      <c r="P195" s="118">
        <v>1</v>
      </c>
      <c r="Q195" s="119">
        <f>IF(O195="",0,IF(N195="Umbrella Contract",Config!$C$21,Config!$C$20))</f>
        <v>0</v>
      </c>
      <c r="R195" s="120">
        <f t="shared" si="9"/>
        <v>0</v>
      </c>
      <c r="S195" s="68"/>
      <c r="T195" s="121">
        <v>0</v>
      </c>
      <c r="U195" s="122">
        <f>IF(S195="",0,IF(N195="Umbrella Contract",Config!$C$21,Config!$C$20))</f>
        <v>0</v>
      </c>
      <c r="V195" s="120">
        <f t="shared" si="10"/>
        <v>0</v>
      </c>
      <c r="W195" s="68"/>
      <c r="X195" s="121">
        <v>0</v>
      </c>
      <c r="Y195" s="122">
        <f>IF(W195="",0,IF(N195="Umbrella Contract",Config!$C$21,Config!$C$20))</f>
        <v>0</v>
      </c>
      <c r="Z195" s="120">
        <f t="shared" si="11"/>
        <v>0</v>
      </c>
      <c r="AA195" s="123"/>
      <c r="AB195" s="124">
        <f>IF(OR(N195&lt;&gt;"Umbrella Contract",AA195=""),0,M195*Config!$C$22)</f>
        <v>0</v>
      </c>
      <c r="AC195" s="132"/>
      <c r="AD195" s="125">
        <f>IF(OR(AC195="",AC195=O195,AC195=S195,AC195=W195),0,M195*Config!$C$23)</f>
        <v>0</v>
      </c>
      <c r="AE195" s="133"/>
      <c r="AF195" s="127">
        <f>IF(OR(AE195="",AE195=O195,AE195=S195,AE195=W195),0,M195*Config!$C$24)</f>
        <v>0</v>
      </c>
      <c r="AG195" s="128"/>
      <c r="AH195" s="129">
        <v>1</v>
      </c>
      <c r="AI195" s="130">
        <f>IF(AG195="",0,M195*Config!$C$26*AH195)</f>
        <v>0</v>
      </c>
      <c r="AJ195" s="128"/>
      <c r="AK195" s="129">
        <v>0</v>
      </c>
      <c r="AL195" s="130">
        <f>IF(AJ195="",0,M195*Config!$C$26*AK195)</f>
        <v>0</v>
      </c>
      <c r="AM195" s="128"/>
      <c r="AN195" s="129">
        <v>0</v>
      </c>
      <c r="AO195" s="130">
        <f>IF(AM195="",0,M195*Config!$C$26*AN195)</f>
        <v>0</v>
      </c>
      <c r="AP195" s="107" t="str">
        <f t="shared" si="12"/>
        <v/>
      </c>
      <c r="AQ195" s="131">
        <f t="shared" si="13"/>
        <v>0</v>
      </c>
      <c r="AR195" s="131">
        <f t="shared" si="14"/>
        <v>0</v>
      </c>
      <c r="AS195" s="131">
        <f t="shared" si="15"/>
        <v>0</v>
      </c>
    </row>
    <row r="196" spans="1:45" ht="18" customHeight="1" x14ac:dyDescent="0.45">
      <c r="A196" s="83"/>
      <c r="B196" s="84" t="str">
        <f>IF(A196&lt;&gt;"",INDEX('Raw Data'!$A$4:$A$203,A196-4+1),"")</f>
        <v/>
      </c>
      <c r="C196" s="84" t="str">
        <f>IF(A196&lt;&gt;"",INDEX('Raw Data'!$B$4:$B$203,A196-4+1),"")</f>
        <v/>
      </c>
      <c r="D196" s="84" t="str">
        <f>IF(A196&lt;&gt;"",INDEX('Raw Data'!$C$4:$C$203,A196-4+1),"")</f>
        <v/>
      </c>
      <c r="E196" s="51" t="str">
        <f>IF(A196&lt;&gt;"",INDEX('Raw Data'!$D$4:$D$203,A196-4+1),"")</f>
        <v/>
      </c>
      <c r="F196" s="84" t="str">
        <f>IF(A196&lt;&gt;"",INDEX('Raw Data'!$E$4:$E$203,A196-4+1),"")</f>
        <v/>
      </c>
      <c r="G196" s="85" t="str">
        <f>IF(A196&lt;&gt;"",INDEX('Raw Data'!$H$4:$H$203,A196-4+1),"")</f>
        <v/>
      </c>
      <c r="H196" s="86" t="str">
        <f>IF(A196&lt;&gt;"",INDEX('Raw Data'!$I$4:$I$203,A196-4+1),"")</f>
        <v/>
      </c>
      <c r="I196" s="87" t="str">
        <f>IF(A196&lt;&gt;"",INDEX('Raw Data'!$O$4:$O$203,A196-4+1),"")</f>
        <v/>
      </c>
      <c r="J196" s="88" t="str">
        <f>IF(A196&lt;&gt;"",IF(INDEX('Raw Data'!$D$4:$D$203,A196-4+1)&lt;&gt;"",INDEX('Raw Data'!$P$4:$P$203,A196-4+1),INDEX('Raw Data'!$R$4:$R$203,A196-4+1)),"")</f>
        <v/>
      </c>
      <c r="K196" s="89" t="str">
        <f>IF(A196&lt;&gt;"",IF(INDEX('Raw Data'!$Q$4:$Q$203,A196-4+1)&lt;&gt;"",INDEX('Raw Data'!$Q$4:$Q$203,A196-4+1),""),"")</f>
        <v/>
      </c>
      <c r="L196" s="89" t="str">
        <f t="shared" si="8"/>
        <v/>
      </c>
      <c r="M196" s="90">
        <f>IF(A196&lt;&gt;"",INDEX('Raw Data'!$S$4:$S$203,A196-4+1),0)</f>
        <v>0</v>
      </c>
      <c r="N196" s="91" t="s">
        <v>274</v>
      </c>
      <c r="O196" s="92"/>
      <c r="P196" s="93">
        <v>1</v>
      </c>
      <c r="Q196" s="94">
        <f>IF(O196="",0,IF(N196="Umbrella Contract",Config!$C$21,Config!$C$20))</f>
        <v>0</v>
      </c>
      <c r="R196" s="95">
        <f t="shared" si="9"/>
        <v>0</v>
      </c>
      <c r="S196" s="63"/>
      <c r="T196" s="96">
        <v>0</v>
      </c>
      <c r="U196" s="97">
        <f>IF(S196="",0,IF(N196="Umbrella Contract",Config!$C$21,Config!$C$20))</f>
        <v>0</v>
      </c>
      <c r="V196" s="95">
        <f t="shared" si="10"/>
        <v>0</v>
      </c>
      <c r="W196" s="63"/>
      <c r="X196" s="96">
        <v>0</v>
      </c>
      <c r="Y196" s="97">
        <f>IF(W196="",0,IF(N196="Umbrella Contract",Config!$C$21,Config!$C$20))</f>
        <v>0</v>
      </c>
      <c r="Z196" s="95">
        <f t="shared" si="11"/>
        <v>0</v>
      </c>
      <c r="AA196" s="98"/>
      <c r="AB196" s="99">
        <f>IF(OR(N196&lt;&gt;"Umbrella Contract",AA196=""),0,M196*Config!$C$22)</f>
        <v>0</v>
      </c>
      <c r="AC196" s="100"/>
      <c r="AD196" s="101">
        <f>IF(OR(AC196="",AC196=O196,AC196=S196,AC196=W196),0,M196*Config!$C$23)</f>
        <v>0</v>
      </c>
      <c r="AE196" s="47"/>
      <c r="AF196" s="103">
        <f>IF(OR(AE196="",AE196=O196,AE196=S196,AE196=W196),0,M196*Config!$C$24)</f>
        <v>0</v>
      </c>
      <c r="AG196" s="104"/>
      <c r="AH196" s="105">
        <v>1</v>
      </c>
      <c r="AI196" s="106">
        <f>IF(AG196="",0,M196*Config!$C$26*AH196)</f>
        <v>0</v>
      </c>
      <c r="AJ196" s="104"/>
      <c r="AK196" s="105">
        <v>0</v>
      </c>
      <c r="AL196" s="106">
        <f>IF(AJ196="",0,M196*Config!$C$26*AK196)</f>
        <v>0</v>
      </c>
      <c r="AM196" s="104"/>
      <c r="AN196" s="105">
        <v>0</v>
      </c>
      <c r="AO196" s="106">
        <f>IF(AM196="",0,M196*Config!$C$26*AN196)</f>
        <v>0</v>
      </c>
      <c r="AP196" s="107" t="str">
        <f t="shared" si="12"/>
        <v/>
      </c>
      <c r="AQ196" s="108">
        <f t="shared" si="13"/>
        <v>0</v>
      </c>
      <c r="AR196" s="108">
        <f t="shared" si="14"/>
        <v>0</v>
      </c>
      <c r="AS196" s="108">
        <f t="shared" si="15"/>
        <v>0</v>
      </c>
    </row>
    <row r="197" spans="1:45" ht="18" customHeight="1" x14ac:dyDescent="0.45">
      <c r="A197" s="83"/>
      <c r="B197" s="46" t="str">
        <f>IF(A197&lt;&gt;"",INDEX('Raw Data'!$A$4:$A$203,A197-4+1),"")</f>
        <v/>
      </c>
      <c r="C197" s="46" t="str">
        <f>IF(A197&lt;&gt;"",INDEX('Raw Data'!$B$4:$B$203,A197-4+1),"")</f>
        <v/>
      </c>
      <c r="D197" s="46" t="str">
        <f>IF(A197&lt;&gt;"",INDEX('Raw Data'!$C$4:$C$203,A197-4+1),"")</f>
        <v/>
      </c>
      <c r="E197" s="109" t="str">
        <f>IF(A197&lt;&gt;"",INDEX('Raw Data'!$D$4:$D$203,A197-4+1),"")</f>
        <v/>
      </c>
      <c r="F197" s="46" t="str">
        <f>IF(A197&lt;&gt;"",INDEX('Raw Data'!$E$4:$E$203,A197-4+1),"")</f>
        <v/>
      </c>
      <c r="G197" s="110" t="str">
        <f>IF(A197&lt;&gt;"",INDEX('Raw Data'!$H$4:$H$203,A197-4+1),"")</f>
        <v/>
      </c>
      <c r="H197" s="111" t="str">
        <f>IF(A197&lt;&gt;"",INDEX('Raw Data'!$I$4:$I$203,A197-4+1),"")</f>
        <v/>
      </c>
      <c r="I197" s="112" t="str">
        <f>IF(A197&lt;&gt;"",INDEX('Raw Data'!$O$4:$O$203,A197-4+1),"")</f>
        <v/>
      </c>
      <c r="J197" s="113" t="str">
        <f>IF(A197&lt;&gt;"",IF(INDEX('Raw Data'!$D$4:$D$203,A197-4+1)&lt;&gt;"",INDEX('Raw Data'!$P$4:$P$203,A197-4+1),INDEX('Raw Data'!$R$4:$R$203,A197-4+1)),"")</f>
        <v/>
      </c>
      <c r="K197" s="114" t="str">
        <f>IF(A197&lt;&gt;"",IF(INDEX('Raw Data'!$Q$4:$Q$203,A197-4+1)&lt;&gt;"",INDEX('Raw Data'!$Q$4:$Q$203,A197-4+1),""),"")</f>
        <v/>
      </c>
      <c r="L197" s="114" t="str">
        <f t="shared" si="8"/>
        <v/>
      </c>
      <c r="M197" s="115">
        <f>IF(A197&lt;&gt;"",INDEX('Raw Data'!$S$4:$S$203,A197-4+1),0)</f>
        <v>0</v>
      </c>
      <c r="N197" s="116" t="s">
        <v>274</v>
      </c>
      <c r="O197" s="117"/>
      <c r="P197" s="118">
        <v>1</v>
      </c>
      <c r="Q197" s="119">
        <f>IF(O197="",0,IF(N197="Umbrella Contract",Config!$C$21,Config!$C$20))</f>
        <v>0</v>
      </c>
      <c r="R197" s="120">
        <f t="shared" si="9"/>
        <v>0</v>
      </c>
      <c r="S197" s="68"/>
      <c r="T197" s="121">
        <v>0</v>
      </c>
      <c r="U197" s="122">
        <f>IF(S197="",0,IF(N197="Umbrella Contract",Config!$C$21,Config!$C$20))</f>
        <v>0</v>
      </c>
      <c r="V197" s="120">
        <f t="shared" si="10"/>
        <v>0</v>
      </c>
      <c r="W197" s="68"/>
      <c r="X197" s="121">
        <v>0</v>
      </c>
      <c r="Y197" s="122">
        <f>IF(W197="",0,IF(N197="Umbrella Contract",Config!$C$21,Config!$C$20))</f>
        <v>0</v>
      </c>
      <c r="Z197" s="120">
        <f t="shared" si="11"/>
        <v>0</v>
      </c>
      <c r="AA197" s="123"/>
      <c r="AB197" s="124">
        <f>IF(OR(N197&lt;&gt;"Umbrella Contract",AA197=""),0,M197*Config!$C$22)</f>
        <v>0</v>
      </c>
      <c r="AC197" s="132"/>
      <c r="AD197" s="125">
        <f>IF(OR(AC197="",AC197=O197,AC197=S197,AC197=W197),0,M197*Config!$C$23)</f>
        <v>0</v>
      </c>
      <c r="AE197" s="133"/>
      <c r="AF197" s="127">
        <f>IF(OR(AE197="",AE197=O197,AE197=S197,AE197=W197),0,M197*Config!$C$24)</f>
        <v>0</v>
      </c>
      <c r="AG197" s="128"/>
      <c r="AH197" s="129">
        <v>1</v>
      </c>
      <c r="AI197" s="130">
        <f>IF(AG197="",0,M197*Config!$C$26*AH197)</f>
        <v>0</v>
      </c>
      <c r="AJ197" s="128"/>
      <c r="AK197" s="129">
        <v>0</v>
      </c>
      <c r="AL197" s="130">
        <f>IF(AJ197="",0,M197*Config!$C$26*AK197)</f>
        <v>0</v>
      </c>
      <c r="AM197" s="128"/>
      <c r="AN197" s="129">
        <v>0</v>
      </c>
      <c r="AO197" s="130">
        <f>IF(AM197="",0,M197*Config!$C$26*AN197)</f>
        <v>0</v>
      </c>
      <c r="AP197" s="107" t="str">
        <f t="shared" si="12"/>
        <v/>
      </c>
      <c r="AQ197" s="131">
        <f t="shared" si="13"/>
        <v>0</v>
      </c>
      <c r="AR197" s="131">
        <f t="shared" si="14"/>
        <v>0</v>
      </c>
      <c r="AS197" s="131">
        <f t="shared" si="15"/>
        <v>0</v>
      </c>
    </row>
    <row r="198" spans="1:45" ht="18" customHeight="1" x14ac:dyDescent="0.45">
      <c r="A198" s="83"/>
      <c r="B198" s="84" t="str">
        <f>IF(A198&lt;&gt;"",INDEX('Raw Data'!$A$4:$A$203,A198-4+1),"")</f>
        <v/>
      </c>
      <c r="C198" s="84" t="str">
        <f>IF(A198&lt;&gt;"",INDEX('Raw Data'!$B$4:$B$203,A198-4+1),"")</f>
        <v/>
      </c>
      <c r="D198" s="84" t="str">
        <f>IF(A198&lt;&gt;"",INDEX('Raw Data'!$C$4:$C$203,A198-4+1),"")</f>
        <v/>
      </c>
      <c r="E198" s="51" t="str">
        <f>IF(A198&lt;&gt;"",INDEX('Raw Data'!$D$4:$D$203,A198-4+1),"")</f>
        <v/>
      </c>
      <c r="F198" s="84" t="str">
        <f>IF(A198&lt;&gt;"",INDEX('Raw Data'!$E$4:$E$203,A198-4+1),"")</f>
        <v/>
      </c>
      <c r="G198" s="85" t="str">
        <f>IF(A198&lt;&gt;"",INDEX('Raw Data'!$H$4:$H$203,A198-4+1),"")</f>
        <v/>
      </c>
      <c r="H198" s="86" t="str">
        <f>IF(A198&lt;&gt;"",INDEX('Raw Data'!$I$4:$I$203,A198-4+1),"")</f>
        <v/>
      </c>
      <c r="I198" s="87" t="str">
        <f>IF(A198&lt;&gt;"",INDEX('Raw Data'!$O$4:$O$203,A198-4+1),"")</f>
        <v/>
      </c>
      <c r="J198" s="88" t="str">
        <f>IF(A198&lt;&gt;"",IF(INDEX('Raw Data'!$D$4:$D$203,A198-4+1)&lt;&gt;"",INDEX('Raw Data'!$P$4:$P$203,A198-4+1),INDEX('Raw Data'!$R$4:$R$203,A198-4+1)),"")</f>
        <v/>
      </c>
      <c r="K198" s="89" t="str">
        <f>IF(A198&lt;&gt;"",IF(INDEX('Raw Data'!$Q$4:$Q$203,A198-4+1)&lt;&gt;"",INDEX('Raw Data'!$Q$4:$Q$203,A198-4+1),""),"")</f>
        <v/>
      </c>
      <c r="L198" s="89" t="str">
        <f t="shared" si="8"/>
        <v/>
      </c>
      <c r="M198" s="90">
        <f>IF(A198&lt;&gt;"",INDEX('Raw Data'!$S$4:$S$203,A198-4+1),0)</f>
        <v>0</v>
      </c>
      <c r="N198" s="91" t="s">
        <v>274</v>
      </c>
      <c r="O198" s="92"/>
      <c r="P198" s="93">
        <v>1</v>
      </c>
      <c r="Q198" s="94">
        <f>IF(O198="",0,IF(N198="Umbrella Contract",Config!$C$21,Config!$C$20))</f>
        <v>0</v>
      </c>
      <c r="R198" s="95">
        <f t="shared" si="9"/>
        <v>0</v>
      </c>
      <c r="S198" s="63"/>
      <c r="T198" s="96">
        <v>0</v>
      </c>
      <c r="U198" s="97">
        <f>IF(S198="",0,IF(N198="Umbrella Contract",Config!$C$21,Config!$C$20))</f>
        <v>0</v>
      </c>
      <c r="V198" s="95">
        <f t="shared" si="10"/>
        <v>0</v>
      </c>
      <c r="W198" s="63"/>
      <c r="X198" s="96">
        <v>0</v>
      </c>
      <c r="Y198" s="97">
        <f>IF(W198="",0,IF(N198="Umbrella Contract",Config!$C$21,Config!$C$20))</f>
        <v>0</v>
      </c>
      <c r="Z198" s="95">
        <f t="shared" si="11"/>
        <v>0</v>
      </c>
      <c r="AA198" s="98"/>
      <c r="AB198" s="99">
        <f>IF(OR(N198&lt;&gt;"Umbrella Contract",AA198=""),0,M198*Config!$C$22)</f>
        <v>0</v>
      </c>
      <c r="AC198" s="100"/>
      <c r="AD198" s="101">
        <f>IF(OR(AC198="",AC198=O198,AC198=S198,AC198=W198),0,M198*Config!$C$23)</f>
        <v>0</v>
      </c>
      <c r="AE198" s="47"/>
      <c r="AF198" s="103">
        <f>IF(OR(AE198="",AE198=O198,AE198=S198,AE198=W198),0,M198*Config!$C$24)</f>
        <v>0</v>
      </c>
      <c r="AG198" s="104"/>
      <c r="AH198" s="105">
        <v>1</v>
      </c>
      <c r="AI198" s="106">
        <f>IF(AG198="",0,M198*Config!$C$26*AH198)</f>
        <v>0</v>
      </c>
      <c r="AJ198" s="104"/>
      <c r="AK198" s="105">
        <v>0</v>
      </c>
      <c r="AL198" s="106">
        <f>IF(AJ198="",0,M198*Config!$C$26*AK198)</f>
        <v>0</v>
      </c>
      <c r="AM198" s="104"/>
      <c r="AN198" s="105">
        <v>0</v>
      </c>
      <c r="AO198" s="106">
        <f>IF(AM198="",0,M198*Config!$C$26*AN198)</f>
        <v>0</v>
      </c>
      <c r="AP198" s="107" t="str">
        <f t="shared" si="12"/>
        <v/>
      </c>
      <c r="AQ198" s="108">
        <f t="shared" si="13"/>
        <v>0</v>
      </c>
      <c r="AR198" s="108">
        <f t="shared" si="14"/>
        <v>0</v>
      </c>
      <c r="AS198" s="108">
        <f t="shared" si="15"/>
        <v>0</v>
      </c>
    </row>
    <row r="199" spans="1:45" ht="18" customHeight="1" x14ac:dyDescent="0.45">
      <c r="A199" s="83"/>
      <c r="B199" s="46" t="str">
        <f>IF(A199&lt;&gt;"",INDEX('Raw Data'!$A$4:$A$203,A199-4+1),"")</f>
        <v/>
      </c>
      <c r="C199" s="46" t="str">
        <f>IF(A199&lt;&gt;"",INDEX('Raw Data'!$B$4:$B$203,A199-4+1),"")</f>
        <v/>
      </c>
      <c r="D199" s="46" t="str">
        <f>IF(A199&lt;&gt;"",INDEX('Raw Data'!$C$4:$C$203,A199-4+1),"")</f>
        <v/>
      </c>
      <c r="E199" s="109" t="str">
        <f>IF(A199&lt;&gt;"",INDEX('Raw Data'!$D$4:$D$203,A199-4+1),"")</f>
        <v/>
      </c>
      <c r="F199" s="46" t="str">
        <f>IF(A199&lt;&gt;"",INDEX('Raw Data'!$E$4:$E$203,A199-4+1),"")</f>
        <v/>
      </c>
      <c r="G199" s="110" t="str">
        <f>IF(A199&lt;&gt;"",INDEX('Raw Data'!$H$4:$H$203,A199-4+1),"")</f>
        <v/>
      </c>
      <c r="H199" s="111" t="str">
        <f>IF(A199&lt;&gt;"",INDEX('Raw Data'!$I$4:$I$203,A199-4+1),"")</f>
        <v/>
      </c>
      <c r="I199" s="112" t="str">
        <f>IF(A199&lt;&gt;"",INDEX('Raw Data'!$O$4:$O$203,A199-4+1),"")</f>
        <v/>
      </c>
      <c r="J199" s="113" t="str">
        <f>IF(A199&lt;&gt;"",IF(INDEX('Raw Data'!$D$4:$D$203,A199-4+1)&lt;&gt;"",INDEX('Raw Data'!$P$4:$P$203,A199-4+1),INDEX('Raw Data'!$R$4:$R$203,A199-4+1)),"")</f>
        <v/>
      </c>
      <c r="K199" s="114" t="str">
        <f>IF(A199&lt;&gt;"",IF(INDEX('Raw Data'!$Q$4:$Q$203,A199-4+1)&lt;&gt;"",INDEX('Raw Data'!$Q$4:$Q$203,A199-4+1),""),"")</f>
        <v/>
      </c>
      <c r="L199" s="114" t="str">
        <f t="shared" si="8"/>
        <v/>
      </c>
      <c r="M199" s="115">
        <f>IF(A199&lt;&gt;"",INDEX('Raw Data'!$S$4:$S$203,A199-4+1),0)</f>
        <v>0</v>
      </c>
      <c r="N199" s="116" t="s">
        <v>274</v>
      </c>
      <c r="O199" s="117"/>
      <c r="P199" s="118">
        <v>1</v>
      </c>
      <c r="Q199" s="119">
        <f>IF(O199="",0,IF(N199="Umbrella Contract",Config!$C$21,Config!$C$20))</f>
        <v>0</v>
      </c>
      <c r="R199" s="120">
        <f t="shared" si="9"/>
        <v>0</v>
      </c>
      <c r="S199" s="68"/>
      <c r="T199" s="121">
        <v>0</v>
      </c>
      <c r="U199" s="122">
        <f>IF(S199="",0,IF(N199="Umbrella Contract",Config!$C$21,Config!$C$20))</f>
        <v>0</v>
      </c>
      <c r="V199" s="120">
        <f t="shared" si="10"/>
        <v>0</v>
      </c>
      <c r="W199" s="68"/>
      <c r="X199" s="121">
        <v>0</v>
      </c>
      <c r="Y199" s="122">
        <f>IF(W199="",0,IF(N199="Umbrella Contract",Config!$C$21,Config!$C$20))</f>
        <v>0</v>
      </c>
      <c r="Z199" s="120">
        <f t="shared" si="11"/>
        <v>0</v>
      </c>
      <c r="AA199" s="123"/>
      <c r="AB199" s="124">
        <f>IF(OR(N199&lt;&gt;"Umbrella Contract",AA199=""),0,M199*Config!$C$22)</f>
        <v>0</v>
      </c>
      <c r="AC199" s="132"/>
      <c r="AD199" s="125">
        <f>IF(OR(AC199="",AC199=O199,AC199=S199,AC199=W199),0,M199*Config!$C$23)</f>
        <v>0</v>
      </c>
      <c r="AE199" s="133"/>
      <c r="AF199" s="127">
        <f>IF(OR(AE199="",AE199=O199,AE199=S199,AE199=W199),0,M199*Config!$C$24)</f>
        <v>0</v>
      </c>
      <c r="AG199" s="128"/>
      <c r="AH199" s="129">
        <v>1</v>
      </c>
      <c r="AI199" s="130">
        <f>IF(AG199="",0,M199*Config!$C$26*AH199)</f>
        <v>0</v>
      </c>
      <c r="AJ199" s="128"/>
      <c r="AK199" s="129">
        <v>0</v>
      </c>
      <c r="AL199" s="130">
        <f>IF(AJ199="",0,M199*Config!$C$26*AK199)</f>
        <v>0</v>
      </c>
      <c r="AM199" s="128"/>
      <c r="AN199" s="129">
        <v>0</v>
      </c>
      <c r="AO199" s="130">
        <f>IF(AM199="",0,M199*Config!$C$26*AN199)</f>
        <v>0</v>
      </c>
      <c r="AP199" s="107" t="str">
        <f t="shared" si="12"/>
        <v/>
      </c>
      <c r="AQ199" s="131">
        <f t="shared" si="13"/>
        <v>0</v>
      </c>
      <c r="AR199" s="131">
        <f t="shared" si="14"/>
        <v>0</v>
      </c>
      <c r="AS199" s="131">
        <f t="shared" si="15"/>
        <v>0</v>
      </c>
    </row>
    <row r="200" spans="1:45" ht="18" customHeight="1" x14ac:dyDescent="0.45">
      <c r="A200" s="83"/>
      <c r="B200" s="84" t="str">
        <f>IF(A200&lt;&gt;"",INDEX('Raw Data'!$A$4:$A$203,A200-4+1),"")</f>
        <v/>
      </c>
      <c r="C200" s="84" t="str">
        <f>IF(A200&lt;&gt;"",INDEX('Raw Data'!$B$4:$B$203,A200-4+1),"")</f>
        <v/>
      </c>
      <c r="D200" s="84" t="str">
        <f>IF(A200&lt;&gt;"",INDEX('Raw Data'!$C$4:$C$203,A200-4+1),"")</f>
        <v/>
      </c>
      <c r="E200" s="51" t="str">
        <f>IF(A200&lt;&gt;"",INDEX('Raw Data'!$D$4:$D$203,A200-4+1),"")</f>
        <v/>
      </c>
      <c r="F200" s="84" t="str">
        <f>IF(A200&lt;&gt;"",INDEX('Raw Data'!$E$4:$E$203,A200-4+1),"")</f>
        <v/>
      </c>
      <c r="G200" s="85" t="str">
        <f>IF(A200&lt;&gt;"",INDEX('Raw Data'!$H$4:$H$203,A200-4+1),"")</f>
        <v/>
      </c>
      <c r="H200" s="86" t="str">
        <f>IF(A200&lt;&gt;"",INDEX('Raw Data'!$I$4:$I$203,A200-4+1),"")</f>
        <v/>
      </c>
      <c r="I200" s="87" t="str">
        <f>IF(A200&lt;&gt;"",INDEX('Raw Data'!$O$4:$O$203,A200-4+1),"")</f>
        <v/>
      </c>
      <c r="J200" s="88" t="str">
        <f>IF(A200&lt;&gt;"",IF(INDEX('Raw Data'!$D$4:$D$203,A200-4+1)&lt;&gt;"",INDEX('Raw Data'!$P$4:$P$203,A200-4+1),INDEX('Raw Data'!$R$4:$R$203,A200-4+1)),"")</f>
        <v/>
      </c>
      <c r="K200" s="89" t="str">
        <f>IF(A200&lt;&gt;"",IF(INDEX('Raw Data'!$Q$4:$Q$203,A200-4+1)&lt;&gt;"",INDEX('Raw Data'!$Q$4:$Q$203,A200-4+1),""),"")</f>
        <v/>
      </c>
      <c r="L200" s="89" t="str">
        <f t="shared" si="8"/>
        <v/>
      </c>
      <c r="M200" s="90">
        <f>IF(A200&lt;&gt;"",INDEX('Raw Data'!$S$4:$S$203,A200-4+1),0)</f>
        <v>0</v>
      </c>
      <c r="N200" s="91" t="s">
        <v>274</v>
      </c>
      <c r="O200" s="92"/>
      <c r="P200" s="93">
        <v>1</v>
      </c>
      <c r="Q200" s="94">
        <f>IF(O200="",0,IF(N200="Umbrella Contract",Config!$C$21,Config!$C$20))</f>
        <v>0</v>
      </c>
      <c r="R200" s="95">
        <f t="shared" si="9"/>
        <v>0</v>
      </c>
      <c r="S200" s="63"/>
      <c r="T200" s="96">
        <v>0</v>
      </c>
      <c r="U200" s="97">
        <f>IF(S200="",0,IF(N200="Umbrella Contract",Config!$C$21,Config!$C$20))</f>
        <v>0</v>
      </c>
      <c r="V200" s="95">
        <f t="shared" si="10"/>
        <v>0</v>
      </c>
      <c r="W200" s="63"/>
      <c r="X200" s="96">
        <v>0</v>
      </c>
      <c r="Y200" s="97">
        <f>IF(W200="",0,IF(N200="Umbrella Contract",Config!$C$21,Config!$C$20))</f>
        <v>0</v>
      </c>
      <c r="Z200" s="95">
        <f t="shared" si="11"/>
        <v>0</v>
      </c>
      <c r="AA200" s="98"/>
      <c r="AB200" s="99">
        <f>IF(OR(N200&lt;&gt;"Umbrella Contract",AA200=""),0,M200*Config!$C$22)</f>
        <v>0</v>
      </c>
      <c r="AC200" s="100"/>
      <c r="AD200" s="101">
        <f>IF(OR(AC200="",AC200=O200,AC200=S200,AC200=W200),0,M200*Config!$C$23)</f>
        <v>0</v>
      </c>
      <c r="AE200" s="47"/>
      <c r="AF200" s="103">
        <f>IF(OR(AE200="",AE200=O200,AE200=S200,AE200=W200),0,M200*Config!$C$24)</f>
        <v>0</v>
      </c>
      <c r="AG200" s="104"/>
      <c r="AH200" s="105">
        <v>1</v>
      </c>
      <c r="AI200" s="106">
        <f>IF(AG200="",0,M200*Config!$C$26*AH200)</f>
        <v>0</v>
      </c>
      <c r="AJ200" s="104"/>
      <c r="AK200" s="105">
        <v>0</v>
      </c>
      <c r="AL200" s="106">
        <f>IF(AJ200="",0,M200*Config!$C$26*AK200)</f>
        <v>0</v>
      </c>
      <c r="AM200" s="104"/>
      <c r="AN200" s="105">
        <v>0</v>
      </c>
      <c r="AO200" s="106">
        <f>IF(AM200="",0,M200*Config!$C$26*AN200)</f>
        <v>0</v>
      </c>
      <c r="AP200" s="107" t="str">
        <f t="shared" si="12"/>
        <v/>
      </c>
      <c r="AQ200" s="108">
        <f t="shared" si="13"/>
        <v>0</v>
      </c>
      <c r="AR200" s="108">
        <f t="shared" si="14"/>
        <v>0</v>
      </c>
      <c r="AS200" s="108">
        <f t="shared" si="15"/>
        <v>0</v>
      </c>
    </row>
    <row r="201" spans="1:45" ht="18" customHeight="1" x14ac:dyDescent="0.45">
      <c r="A201" s="83"/>
      <c r="B201" s="46" t="str">
        <f>IF(A201&lt;&gt;"",INDEX('Raw Data'!$A$4:$A$203,A201-4+1),"")</f>
        <v/>
      </c>
      <c r="C201" s="46" t="str">
        <f>IF(A201&lt;&gt;"",INDEX('Raw Data'!$B$4:$B$203,A201-4+1),"")</f>
        <v/>
      </c>
      <c r="D201" s="46" t="str">
        <f>IF(A201&lt;&gt;"",INDEX('Raw Data'!$C$4:$C$203,A201-4+1),"")</f>
        <v/>
      </c>
      <c r="E201" s="109" t="str">
        <f>IF(A201&lt;&gt;"",INDEX('Raw Data'!$D$4:$D$203,A201-4+1),"")</f>
        <v/>
      </c>
      <c r="F201" s="46" t="str">
        <f>IF(A201&lt;&gt;"",INDEX('Raw Data'!$E$4:$E$203,A201-4+1),"")</f>
        <v/>
      </c>
      <c r="G201" s="110" t="str">
        <f>IF(A201&lt;&gt;"",INDEX('Raw Data'!$H$4:$H$203,A201-4+1),"")</f>
        <v/>
      </c>
      <c r="H201" s="111" t="str">
        <f>IF(A201&lt;&gt;"",INDEX('Raw Data'!$I$4:$I$203,A201-4+1),"")</f>
        <v/>
      </c>
      <c r="I201" s="112" t="str">
        <f>IF(A201&lt;&gt;"",INDEX('Raw Data'!$O$4:$O$203,A201-4+1),"")</f>
        <v/>
      </c>
      <c r="J201" s="113" t="str">
        <f>IF(A201&lt;&gt;"",IF(INDEX('Raw Data'!$D$4:$D$203,A201-4+1)&lt;&gt;"",INDEX('Raw Data'!$P$4:$P$203,A201-4+1),INDEX('Raw Data'!$R$4:$R$203,A201-4+1)),"")</f>
        <v/>
      </c>
      <c r="K201" s="114" t="str">
        <f>IF(A201&lt;&gt;"",IF(INDEX('Raw Data'!$Q$4:$Q$203,A201-4+1)&lt;&gt;"",INDEX('Raw Data'!$Q$4:$Q$203,A201-4+1),""),"")</f>
        <v/>
      </c>
      <c r="L201" s="114" t="str">
        <f t="shared" si="8"/>
        <v/>
      </c>
      <c r="M201" s="115">
        <f>IF(A201&lt;&gt;"",INDEX('Raw Data'!$S$4:$S$203,A201-4+1),0)</f>
        <v>0</v>
      </c>
      <c r="N201" s="116" t="s">
        <v>274</v>
      </c>
      <c r="O201" s="117"/>
      <c r="P201" s="118">
        <v>1</v>
      </c>
      <c r="Q201" s="119">
        <f>IF(O201="",0,IF(N201="Umbrella Contract",Config!$C$21,Config!$C$20))</f>
        <v>0</v>
      </c>
      <c r="R201" s="120">
        <f t="shared" si="9"/>
        <v>0</v>
      </c>
      <c r="S201" s="68"/>
      <c r="T201" s="121">
        <v>0</v>
      </c>
      <c r="U201" s="122">
        <f>IF(S201="",0,IF(N201="Umbrella Contract",Config!$C$21,Config!$C$20))</f>
        <v>0</v>
      </c>
      <c r="V201" s="120">
        <f t="shared" si="10"/>
        <v>0</v>
      </c>
      <c r="W201" s="68"/>
      <c r="X201" s="121">
        <v>0</v>
      </c>
      <c r="Y201" s="122">
        <f>IF(W201="",0,IF(N201="Umbrella Contract",Config!$C$21,Config!$C$20))</f>
        <v>0</v>
      </c>
      <c r="Z201" s="120">
        <f t="shared" si="11"/>
        <v>0</v>
      </c>
      <c r="AA201" s="123"/>
      <c r="AB201" s="124">
        <f>IF(OR(N201&lt;&gt;"Umbrella Contract",AA201=""),0,M201*Config!$C$22)</f>
        <v>0</v>
      </c>
      <c r="AC201" s="132"/>
      <c r="AD201" s="125">
        <f>IF(OR(AC201="",AC201=O201,AC201=S201,AC201=W201),0,M201*Config!$C$23)</f>
        <v>0</v>
      </c>
      <c r="AE201" s="133"/>
      <c r="AF201" s="127">
        <f>IF(OR(AE201="",AE201=O201,AE201=S201,AE201=W201),0,M201*Config!$C$24)</f>
        <v>0</v>
      </c>
      <c r="AG201" s="128"/>
      <c r="AH201" s="129">
        <v>1</v>
      </c>
      <c r="AI201" s="130">
        <f>IF(AG201="",0,M201*Config!$C$26*AH201)</f>
        <v>0</v>
      </c>
      <c r="AJ201" s="128"/>
      <c r="AK201" s="129">
        <v>0</v>
      </c>
      <c r="AL201" s="130">
        <f>IF(AJ201="",0,M201*Config!$C$26*AK201)</f>
        <v>0</v>
      </c>
      <c r="AM201" s="128"/>
      <c r="AN201" s="129">
        <v>0</v>
      </c>
      <c r="AO201" s="130">
        <f>IF(AM201="",0,M201*Config!$C$26*AN201)</f>
        <v>0</v>
      </c>
      <c r="AP201" s="107" t="str">
        <f t="shared" si="12"/>
        <v/>
      </c>
      <c r="AQ201" s="131">
        <f t="shared" si="13"/>
        <v>0</v>
      </c>
      <c r="AR201" s="131">
        <f t="shared" si="14"/>
        <v>0</v>
      </c>
      <c r="AS201" s="131">
        <f t="shared" si="15"/>
        <v>0</v>
      </c>
    </row>
    <row r="202" spans="1:45" ht="18" customHeight="1" x14ac:dyDescent="0.45">
      <c r="A202" s="83"/>
      <c r="B202" s="84" t="str">
        <f>IF(A202&lt;&gt;"",INDEX('Raw Data'!$A$4:$A$203,A202-4+1),"")</f>
        <v/>
      </c>
      <c r="C202" s="84" t="str">
        <f>IF(A202&lt;&gt;"",INDEX('Raw Data'!$B$4:$B$203,A202-4+1),"")</f>
        <v/>
      </c>
      <c r="D202" s="84" t="str">
        <f>IF(A202&lt;&gt;"",INDEX('Raw Data'!$C$4:$C$203,A202-4+1),"")</f>
        <v/>
      </c>
      <c r="E202" s="51" t="str">
        <f>IF(A202&lt;&gt;"",INDEX('Raw Data'!$D$4:$D$203,A202-4+1),"")</f>
        <v/>
      </c>
      <c r="F202" s="84" t="str">
        <f>IF(A202&lt;&gt;"",INDEX('Raw Data'!$E$4:$E$203,A202-4+1),"")</f>
        <v/>
      </c>
      <c r="G202" s="85" t="str">
        <f>IF(A202&lt;&gt;"",INDEX('Raw Data'!$H$4:$H$203,A202-4+1),"")</f>
        <v/>
      </c>
      <c r="H202" s="86" t="str">
        <f>IF(A202&lt;&gt;"",INDEX('Raw Data'!$I$4:$I$203,A202-4+1),"")</f>
        <v/>
      </c>
      <c r="I202" s="87" t="str">
        <f>IF(A202&lt;&gt;"",INDEX('Raw Data'!$O$4:$O$203,A202-4+1),"")</f>
        <v/>
      </c>
      <c r="J202" s="88" t="str">
        <f>IF(A202&lt;&gt;"",IF(INDEX('Raw Data'!$D$4:$D$203,A202-4+1)&lt;&gt;"",INDEX('Raw Data'!$P$4:$P$203,A202-4+1),INDEX('Raw Data'!$R$4:$R$203,A202-4+1)),"")</f>
        <v/>
      </c>
      <c r="K202" s="89" t="str">
        <f>IF(A202&lt;&gt;"",IF(INDEX('Raw Data'!$Q$4:$Q$203,A202-4+1)&lt;&gt;"",INDEX('Raw Data'!$Q$4:$Q$203,A202-4+1),""),"")</f>
        <v/>
      </c>
      <c r="L202" s="89" t="str">
        <f t="shared" si="8"/>
        <v/>
      </c>
      <c r="M202" s="90">
        <f>IF(A202&lt;&gt;"",INDEX('Raw Data'!$S$4:$S$203,A202-4+1),0)</f>
        <v>0</v>
      </c>
      <c r="N202" s="91" t="s">
        <v>274</v>
      </c>
      <c r="O202" s="92"/>
      <c r="P202" s="93">
        <v>1</v>
      </c>
      <c r="Q202" s="94">
        <f>IF(O202="",0,IF(N202="Umbrella Contract",Config!$C$21,Config!$C$20))</f>
        <v>0</v>
      </c>
      <c r="R202" s="95">
        <f t="shared" si="9"/>
        <v>0</v>
      </c>
      <c r="S202" s="63"/>
      <c r="T202" s="96">
        <v>0</v>
      </c>
      <c r="U202" s="97">
        <f>IF(S202="",0,IF(N202="Umbrella Contract",Config!$C$21,Config!$C$20))</f>
        <v>0</v>
      </c>
      <c r="V202" s="95">
        <f t="shared" si="10"/>
        <v>0</v>
      </c>
      <c r="W202" s="63"/>
      <c r="X202" s="96">
        <v>0</v>
      </c>
      <c r="Y202" s="97">
        <f>IF(W202="",0,IF(N202="Umbrella Contract",Config!$C$21,Config!$C$20))</f>
        <v>0</v>
      </c>
      <c r="Z202" s="95">
        <f t="shared" si="11"/>
        <v>0</v>
      </c>
      <c r="AA202" s="98"/>
      <c r="AB202" s="99">
        <f>IF(OR(N202&lt;&gt;"Umbrella Contract",AA202=""),0,M202*Config!$C$22)</f>
        <v>0</v>
      </c>
      <c r="AC202" s="100"/>
      <c r="AD202" s="101">
        <f>IF(OR(AC202="",AC202=O202,AC202=S202,AC202=W202),0,M202*Config!$C$23)</f>
        <v>0</v>
      </c>
      <c r="AE202" s="47"/>
      <c r="AF202" s="103">
        <f>IF(OR(AE202="",AE202=O202,AE202=S202,AE202=W202),0,M202*Config!$C$24)</f>
        <v>0</v>
      </c>
      <c r="AG202" s="104"/>
      <c r="AH202" s="105">
        <v>1</v>
      </c>
      <c r="AI202" s="106">
        <f>IF(AG202="",0,M202*Config!$C$26*AH202)</f>
        <v>0</v>
      </c>
      <c r="AJ202" s="104"/>
      <c r="AK202" s="105">
        <v>0</v>
      </c>
      <c r="AL202" s="106">
        <f>IF(AJ202="",0,M202*Config!$C$26*AK202)</f>
        <v>0</v>
      </c>
      <c r="AM202" s="104"/>
      <c r="AN202" s="105">
        <v>0</v>
      </c>
      <c r="AO202" s="106">
        <f>IF(AM202="",0,M202*Config!$C$26*AN202)</f>
        <v>0</v>
      </c>
      <c r="AP202" s="107" t="str">
        <f t="shared" si="12"/>
        <v/>
      </c>
      <c r="AQ202" s="108">
        <f t="shared" si="13"/>
        <v>0</v>
      </c>
      <c r="AR202" s="108">
        <f t="shared" si="14"/>
        <v>0</v>
      </c>
      <c r="AS202" s="108">
        <f t="shared" si="15"/>
        <v>0</v>
      </c>
    </row>
    <row r="203" spans="1:45" ht="18" customHeight="1" x14ac:dyDescent="0.45">
      <c r="A203" s="83"/>
      <c r="B203" s="46" t="str">
        <f>IF(A203&lt;&gt;"",INDEX('Raw Data'!$A$4:$A$203,A203-4+1),"")</f>
        <v/>
      </c>
      <c r="C203" s="46" t="str">
        <f>IF(A203&lt;&gt;"",INDEX('Raw Data'!$B$4:$B$203,A203-4+1),"")</f>
        <v/>
      </c>
      <c r="D203" s="46" t="str">
        <f>IF(A203&lt;&gt;"",INDEX('Raw Data'!$C$4:$C$203,A203-4+1),"")</f>
        <v/>
      </c>
      <c r="E203" s="109" t="str">
        <f>IF(A203&lt;&gt;"",INDEX('Raw Data'!$D$4:$D$203,A203-4+1),"")</f>
        <v/>
      </c>
      <c r="F203" s="46" t="str">
        <f>IF(A203&lt;&gt;"",INDEX('Raw Data'!$E$4:$E$203,A203-4+1),"")</f>
        <v/>
      </c>
      <c r="G203" s="110" t="str">
        <f>IF(A203&lt;&gt;"",INDEX('Raw Data'!$H$4:$H$203,A203-4+1),"")</f>
        <v/>
      </c>
      <c r="H203" s="111" t="str">
        <f>IF(A203&lt;&gt;"",INDEX('Raw Data'!$I$4:$I$203,A203-4+1),"")</f>
        <v/>
      </c>
      <c r="I203" s="112" t="str">
        <f>IF(A203&lt;&gt;"",INDEX('Raw Data'!$O$4:$O$203,A203-4+1),"")</f>
        <v/>
      </c>
      <c r="J203" s="113" t="str">
        <f>IF(A203&lt;&gt;"",IF(INDEX('Raw Data'!$D$4:$D$203,A203-4+1)&lt;&gt;"",INDEX('Raw Data'!$P$4:$P$203,A203-4+1),INDEX('Raw Data'!$R$4:$R$203,A203-4+1)),"")</f>
        <v/>
      </c>
      <c r="K203" s="114" t="str">
        <f>IF(A203&lt;&gt;"",IF(INDEX('Raw Data'!$Q$4:$Q$203,A203-4+1)&lt;&gt;"",INDEX('Raw Data'!$Q$4:$Q$203,A203-4+1),""),"")</f>
        <v/>
      </c>
      <c r="L203" s="114" t="str">
        <f t="shared" si="8"/>
        <v/>
      </c>
      <c r="M203" s="115">
        <f>IF(A203&lt;&gt;"",INDEX('Raw Data'!$S$4:$S$203,A203-4+1),0)</f>
        <v>0</v>
      </c>
      <c r="N203" s="116" t="s">
        <v>274</v>
      </c>
      <c r="O203" s="117"/>
      <c r="P203" s="118">
        <v>1</v>
      </c>
      <c r="Q203" s="119">
        <f>IF(O203="",0,IF(N203="Umbrella Contract",Config!$C$21,Config!$C$20))</f>
        <v>0</v>
      </c>
      <c r="R203" s="120">
        <f t="shared" si="9"/>
        <v>0</v>
      </c>
      <c r="S203" s="68"/>
      <c r="T203" s="121">
        <v>0</v>
      </c>
      <c r="U203" s="122">
        <f>IF(S203="",0,IF(N203="Umbrella Contract",Config!$C$21,Config!$C$20))</f>
        <v>0</v>
      </c>
      <c r="V203" s="120">
        <f t="shared" si="10"/>
        <v>0</v>
      </c>
      <c r="W203" s="68"/>
      <c r="X203" s="121">
        <v>0</v>
      </c>
      <c r="Y203" s="122">
        <f>IF(W203="",0,IF(N203="Umbrella Contract",Config!$C$21,Config!$C$20))</f>
        <v>0</v>
      </c>
      <c r="Z203" s="120">
        <f t="shared" si="11"/>
        <v>0</v>
      </c>
      <c r="AA203" s="123"/>
      <c r="AB203" s="124">
        <f>IF(OR(N203&lt;&gt;"Umbrella Contract",AA203=""),0,M203*Config!$C$22)</f>
        <v>0</v>
      </c>
      <c r="AC203" s="132"/>
      <c r="AD203" s="125">
        <f>IF(OR(AC203="",AC203=O203,AC203=S203,AC203=W203),0,M203*Config!$C$23)</f>
        <v>0</v>
      </c>
      <c r="AE203" s="133"/>
      <c r="AF203" s="127">
        <f>IF(OR(AE203="",AE203=O203,AE203=S203,AE203=W203),0,M203*Config!$C$24)</f>
        <v>0</v>
      </c>
      <c r="AG203" s="128"/>
      <c r="AH203" s="129">
        <v>1</v>
      </c>
      <c r="AI203" s="130">
        <f>IF(AG203="",0,M203*Config!$C$26*AH203)</f>
        <v>0</v>
      </c>
      <c r="AJ203" s="128"/>
      <c r="AK203" s="129">
        <v>0</v>
      </c>
      <c r="AL203" s="130">
        <f>IF(AJ203="",0,M203*Config!$C$26*AK203)</f>
        <v>0</v>
      </c>
      <c r="AM203" s="128"/>
      <c r="AN203" s="129">
        <v>0</v>
      </c>
      <c r="AO203" s="130">
        <f>IF(AM203="",0,M203*Config!$C$26*AN203)</f>
        <v>0</v>
      </c>
      <c r="AP203" s="107" t="str">
        <f t="shared" si="12"/>
        <v/>
      </c>
      <c r="AQ203" s="131">
        <f t="shared" si="13"/>
        <v>0</v>
      </c>
      <c r="AR203" s="131">
        <f t="shared" si="14"/>
        <v>0</v>
      </c>
      <c r="AS203" s="131">
        <f t="shared" si="15"/>
        <v>0</v>
      </c>
    </row>
    <row r="204" spans="1:45" ht="18" customHeight="1" x14ac:dyDescent="0.45">
      <c r="A204" s="83"/>
      <c r="B204" s="84" t="str">
        <f>IF(A204&lt;&gt;"",INDEX('Raw Data'!$A$4:$A$203,A204-4+1),"")</f>
        <v/>
      </c>
      <c r="C204" s="84" t="str">
        <f>IF(A204&lt;&gt;"",INDEX('Raw Data'!$B$4:$B$203,A204-4+1),"")</f>
        <v/>
      </c>
      <c r="D204" s="84" t="str">
        <f>IF(A204&lt;&gt;"",INDEX('Raw Data'!$C$4:$C$203,A204-4+1),"")</f>
        <v/>
      </c>
      <c r="E204" s="51" t="str">
        <f>IF(A204&lt;&gt;"",INDEX('Raw Data'!$D$4:$D$203,A204-4+1),"")</f>
        <v/>
      </c>
      <c r="F204" s="84" t="str">
        <f>IF(A204&lt;&gt;"",INDEX('Raw Data'!$E$4:$E$203,A204-4+1),"")</f>
        <v/>
      </c>
      <c r="G204" s="85" t="str">
        <f>IF(A204&lt;&gt;"",INDEX('Raw Data'!$H$4:$H$203,A204-4+1),"")</f>
        <v/>
      </c>
      <c r="H204" s="86" t="str">
        <f>IF(A204&lt;&gt;"",INDEX('Raw Data'!$I$4:$I$203,A204-4+1),"")</f>
        <v/>
      </c>
      <c r="I204" s="87" t="str">
        <f>IF(A204&lt;&gt;"",INDEX('Raw Data'!$O$4:$O$203,A204-4+1),"")</f>
        <v/>
      </c>
      <c r="J204" s="88" t="str">
        <f>IF(A204&lt;&gt;"",IF(INDEX('Raw Data'!$D$4:$D$203,A204-4+1)&lt;&gt;"",INDEX('Raw Data'!$P$4:$P$203,A204-4+1),INDEX('Raw Data'!$R$4:$R$203,A204-4+1)),"")</f>
        <v/>
      </c>
      <c r="K204" s="89" t="str">
        <f>IF(A204&lt;&gt;"",IF(INDEX('Raw Data'!$Q$4:$Q$203,A204-4+1)&lt;&gt;"",INDEX('Raw Data'!$Q$4:$Q$203,A204-4+1),""),"")</f>
        <v/>
      </c>
      <c r="L204" s="89" t="str">
        <f t="shared" si="8"/>
        <v/>
      </c>
      <c r="M204" s="90">
        <f>IF(A204&lt;&gt;"",INDEX('Raw Data'!$S$4:$S$203,A204-4+1),0)</f>
        <v>0</v>
      </c>
      <c r="N204" s="91" t="s">
        <v>274</v>
      </c>
      <c r="O204" s="92"/>
      <c r="P204" s="93">
        <v>1</v>
      </c>
      <c r="Q204" s="94">
        <f>IF(O204="",0,IF(N204="Umbrella Contract",Config!$C$21,Config!$C$20))</f>
        <v>0</v>
      </c>
      <c r="R204" s="95">
        <f t="shared" si="9"/>
        <v>0</v>
      </c>
      <c r="S204" s="63"/>
      <c r="T204" s="96">
        <v>0</v>
      </c>
      <c r="U204" s="97">
        <f>IF(S204="",0,IF(N204="Umbrella Contract",Config!$C$21,Config!$C$20))</f>
        <v>0</v>
      </c>
      <c r="V204" s="95">
        <f t="shared" si="10"/>
        <v>0</v>
      </c>
      <c r="W204" s="63"/>
      <c r="X204" s="96">
        <v>0</v>
      </c>
      <c r="Y204" s="97">
        <f>IF(W204="",0,IF(N204="Umbrella Contract",Config!$C$21,Config!$C$20))</f>
        <v>0</v>
      </c>
      <c r="Z204" s="95">
        <f t="shared" si="11"/>
        <v>0</v>
      </c>
      <c r="AA204" s="98"/>
      <c r="AB204" s="99">
        <f>IF(OR(N204&lt;&gt;"Umbrella Contract",AA204=""),0,M204*Config!$C$22)</f>
        <v>0</v>
      </c>
      <c r="AC204" s="100"/>
      <c r="AD204" s="101">
        <f>IF(OR(AC204="",AC204=O204,AC204=S204,AC204=W204),0,M204*Config!$C$23)</f>
        <v>0</v>
      </c>
      <c r="AE204" s="47"/>
      <c r="AF204" s="103">
        <f>IF(OR(AE204="",AE204=O204,AE204=S204,AE204=W204),0,M204*Config!$C$24)</f>
        <v>0</v>
      </c>
      <c r="AG204" s="104"/>
      <c r="AH204" s="105">
        <v>1</v>
      </c>
      <c r="AI204" s="106">
        <f>IF(AG204="",0,M204*Config!$C$26*AH204)</f>
        <v>0</v>
      </c>
      <c r="AJ204" s="104"/>
      <c r="AK204" s="105">
        <v>0</v>
      </c>
      <c r="AL204" s="106">
        <f>IF(AJ204="",0,M204*Config!$C$26*AK204)</f>
        <v>0</v>
      </c>
      <c r="AM204" s="104"/>
      <c r="AN204" s="105">
        <v>0</v>
      </c>
      <c r="AO204" s="106">
        <f>IF(AM204="",0,M204*Config!$C$26*AN204)</f>
        <v>0</v>
      </c>
      <c r="AP204" s="107" t="str">
        <f t="shared" si="12"/>
        <v/>
      </c>
      <c r="AQ204" s="108">
        <f t="shared" si="13"/>
        <v>0</v>
      </c>
      <c r="AR204" s="108">
        <f t="shared" si="14"/>
        <v>0</v>
      </c>
      <c r="AS204" s="108">
        <f t="shared" si="15"/>
        <v>0</v>
      </c>
    </row>
    <row r="205" spans="1:45" ht="18" customHeight="1" x14ac:dyDescent="0.45">
      <c r="A205" s="83"/>
      <c r="B205" s="46" t="str">
        <f>IF(A205&lt;&gt;"",INDEX('Raw Data'!$A$4:$A$203,A205-4+1),"")</f>
        <v/>
      </c>
      <c r="C205" s="46" t="str">
        <f>IF(A205&lt;&gt;"",INDEX('Raw Data'!$B$4:$B$203,A205-4+1),"")</f>
        <v/>
      </c>
      <c r="D205" s="46" t="str">
        <f>IF(A205&lt;&gt;"",INDEX('Raw Data'!$C$4:$C$203,A205-4+1),"")</f>
        <v/>
      </c>
      <c r="E205" s="109" t="str">
        <f>IF(A205&lt;&gt;"",INDEX('Raw Data'!$D$4:$D$203,A205-4+1),"")</f>
        <v/>
      </c>
      <c r="F205" s="46" t="str">
        <f>IF(A205&lt;&gt;"",INDEX('Raw Data'!$E$4:$E$203,A205-4+1),"")</f>
        <v/>
      </c>
      <c r="G205" s="110" t="str">
        <f>IF(A205&lt;&gt;"",INDEX('Raw Data'!$H$4:$H$203,A205-4+1),"")</f>
        <v/>
      </c>
      <c r="H205" s="111" t="str">
        <f>IF(A205&lt;&gt;"",INDEX('Raw Data'!$I$4:$I$203,A205-4+1),"")</f>
        <v/>
      </c>
      <c r="I205" s="112" t="str">
        <f>IF(A205&lt;&gt;"",INDEX('Raw Data'!$O$4:$O$203,A205-4+1),"")</f>
        <v/>
      </c>
      <c r="J205" s="113" t="str">
        <f>IF(A205&lt;&gt;"",IF(INDEX('Raw Data'!$D$4:$D$203,A205-4+1)&lt;&gt;"",INDEX('Raw Data'!$P$4:$P$203,A205-4+1),INDEX('Raw Data'!$R$4:$R$203,A205-4+1)),"")</f>
        <v/>
      </c>
      <c r="K205" s="114" t="str">
        <f>IF(A205&lt;&gt;"",IF(INDEX('Raw Data'!$Q$4:$Q$203,A205-4+1)&lt;&gt;"",INDEX('Raw Data'!$Q$4:$Q$203,A205-4+1),""),"")</f>
        <v/>
      </c>
      <c r="L205" s="114" t="str">
        <f t="shared" si="8"/>
        <v/>
      </c>
      <c r="M205" s="115">
        <f>IF(A205&lt;&gt;"",INDEX('Raw Data'!$S$4:$S$203,A205-4+1),0)</f>
        <v>0</v>
      </c>
      <c r="N205" s="116" t="s">
        <v>274</v>
      </c>
      <c r="O205" s="117"/>
      <c r="P205" s="118">
        <v>1</v>
      </c>
      <c r="Q205" s="119">
        <f>IF(O205="",0,IF(N205="Umbrella Contract",Config!$C$21,Config!$C$20))</f>
        <v>0</v>
      </c>
      <c r="R205" s="120">
        <f t="shared" si="9"/>
        <v>0</v>
      </c>
      <c r="S205" s="68"/>
      <c r="T205" s="121">
        <v>0</v>
      </c>
      <c r="U205" s="122">
        <f>IF(S205="",0,IF(N205="Umbrella Contract",Config!$C$21,Config!$C$20))</f>
        <v>0</v>
      </c>
      <c r="V205" s="120">
        <f t="shared" si="10"/>
        <v>0</v>
      </c>
      <c r="W205" s="68"/>
      <c r="X205" s="121">
        <v>0</v>
      </c>
      <c r="Y205" s="122">
        <f>IF(W205="",0,IF(N205="Umbrella Contract",Config!$C$21,Config!$C$20))</f>
        <v>0</v>
      </c>
      <c r="Z205" s="120">
        <f t="shared" si="11"/>
        <v>0</v>
      </c>
      <c r="AA205" s="123"/>
      <c r="AB205" s="124">
        <f>IF(OR(N205&lt;&gt;"Umbrella Contract",AA205=""),0,M205*Config!$C$22)</f>
        <v>0</v>
      </c>
      <c r="AC205" s="132"/>
      <c r="AD205" s="125">
        <f>IF(OR(AC205="",AC205=O205,AC205=S205,AC205=W205),0,M205*Config!$C$23)</f>
        <v>0</v>
      </c>
      <c r="AE205" s="133"/>
      <c r="AF205" s="127">
        <f>IF(OR(AE205="",AE205=O205,AE205=S205,AE205=W205),0,M205*Config!$C$24)</f>
        <v>0</v>
      </c>
      <c r="AG205" s="128"/>
      <c r="AH205" s="129">
        <v>1</v>
      </c>
      <c r="AI205" s="130">
        <f>IF(AG205="",0,M205*Config!$C$26*AH205)</f>
        <v>0</v>
      </c>
      <c r="AJ205" s="128"/>
      <c r="AK205" s="129">
        <v>0</v>
      </c>
      <c r="AL205" s="130">
        <f>IF(AJ205="",0,M205*Config!$C$26*AK205)</f>
        <v>0</v>
      </c>
      <c r="AM205" s="128"/>
      <c r="AN205" s="129">
        <v>0</v>
      </c>
      <c r="AO205" s="130">
        <f>IF(AM205="",0,M205*Config!$C$26*AN205)</f>
        <v>0</v>
      </c>
      <c r="AP205" s="107" t="str">
        <f t="shared" si="12"/>
        <v/>
      </c>
      <c r="AQ205" s="131">
        <f t="shared" si="13"/>
        <v>0</v>
      </c>
      <c r="AR205" s="131">
        <f t="shared" si="14"/>
        <v>0</v>
      </c>
      <c r="AS205" s="131">
        <f t="shared" si="15"/>
        <v>0</v>
      </c>
    </row>
    <row r="207" spans="1:45" ht="21.75" customHeight="1" x14ac:dyDescent="0.45">
      <c r="B207" s="134" t="s">
        <v>276</v>
      </c>
      <c r="I207" s="135">
        <f>SUM(I7:I205)</f>
        <v>1352400000</v>
      </c>
      <c r="M207" s="135">
        <f>SUM(M7:M205)</f>
        <v>435610000</v>
      </c>
      <c r="R207" s="135">
        <f>SUM(R7:R205)</f>
        <v>16758000</v>
      </c>
      <c r="V207" s="135">
        <f>SUM(V7:V205)</f>
        <v>2450000</v>
      </c>
      <c r="Z207" s="135">
        <f>SUM(Z7:Z205)</f>
        <v>0</v>
      </c>
      <c r="AB207" s="135">
        <f>SUM(AB7:AB205)</f>
        <v>2572500</v>
      </c>
      <c r="AD207" s="135">
        <f>SUM(AD7:AD205)</f>
        <v>3049270</v>
      </c>
      <c r="AF207" s="135">
        <f>SUM(AF7:AF205)</f>
        <v>1306830</v>
      </c>
      <c r="AI207" s="135">
        <f>SUM(AI7:AI205)</f>
        <v>705600</v>
      </c>
      <c r="AL207" s="135">
        <f>SUM(AL7:AL205)</f>
        <v>0</v>
      </c>
      <c r="AO207" s="135">
        <f>SUM(AO7:AO205)</f>
        <v>0</v>
      </c>
      <c r="AQ207" s="135">
        <f>SUM(AQ7:AQ205)</f>
        <v>16052400</v>
      </c>
      <c r="AR207" s="135">
        <f>SUM(AR7:AR205)</f>
        <v>2450000</v>
      </c>
      <c r="AS207" s="135">
        <f>SUM(AS7:AS205)</f>
        <v>0</v>
      </c>
    </row>
    <row r="208" spans="1:45" ht="14.25" customHeight="1" x14ac:dyDescent="0.45">
      <c r="M208" s="136"/>
    </row>
  </sheetData>
  <autoFilter ref="B6:AS205" xr:uid="{00000000-0009-0000-0000-000003000000}"/>
  <mergeCells count="11">
    <mergeCell ref="A1:AV1"/>
    <mergeCell ref="A2:AV2"/>
    <mergeCell ref="A3:AV3"/>
    <mergeCell ref="A5:D5"/>
    <mergeCell ref="E5:M5"/>
    <mergeCell ref="O5:Z5"/>
    <mergeCell ref="AA5:AB5"/>
    <mergeCell ref="AC5:AD5"/>
    <mergeCell ref="AE5:AF5"/>
    <mergeCell ref="AG5:AO5"/>
    <mergeCell ref="AQ5:AS5"/>
  </mergeCells>
  <conditionalFormatting sqref="AP7:AP205">
    <cfRule type="cellIs" dxfId="5" priority="2" operator="greaterThan">
      <formula>1</formula>
    </cfRule>
    <cfRule type="cellIs" dxfId="4" priority="3" operator="equal">
      <formula>1</formula>
    </cfRule>
    <cfRule type="expression" dxfId="3" priority="4">
      <formula>AND(AP7&gt;0,AP7&lt;1)</formula>
    </cfRule>
  </conditionalFormatting>
  <dataValidations count="2">
    <dataValidation type="list" sqref="N7:N205" xr:uid="{00000000-0002-0000-0300-000000000000}">
      <formula1>"Standard,Umbrella Contract"</formula1>
      <formula2>0</formula2>
    </dataValidation>
    <dataValidation type="list" sqref="P7:P205 T7:T205 X7:X205 AH7:AH205 AK7:AK205 AN7:AN205" xr:uid="{00000000-0002-0000-0300-000001000000}">
      <formula1>"0%,10%,20%,25%,30%,40%,50%,60%,70%,75%,80%,90%,100%"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7"/>
  <sheetViews>
    <sheetView showGridLines="0" zoomScale="51" zoomScaleNormal="150" workbookViewId="0">
      <pane xSplit="1" ySplit="6" topLeftCell="F7" activePane="bottomRight" state="frozen"/>
      <selection pane="topRight" activeCell="I1" sqref="I1"/>
      <selection pane="bottomLeft" activeCell="A204" sqref="A204"/>
      <selection pane="bottomRight" activeCell="N112" sqref="N112"/>
    </sheetView>
  </sheetViews>
  <sheetFormatPr defaultColWidth="8.6640625" defaultRowHeight="14.25" x14ac:dyDescent="0.45"/>
  <cols>
    <col min="1" max="1" width="4" hidden="1" customWidth="1"/>
    <col min="2" max="2" width="12" customWidth="1"/>
    <col min="3" max="3" width="28" customWidth="1"/>
    <col min="4" max="4" width="13" customWidth="1"/>
    <col min="5" max="5" width="12" customWidth="1"/>
    <col min="6" max="6" width="14" customWidth="1"/>
    <col min="7" max="7" width="49.53125" customWidth="1"/>
    <col min="8" max="8" width="11" customWidth="1"/>
    <col min="9" max="9" width="15" customWidth="1"/>
    <col min="10" max="11" width="10" hidden="1" customWidth="1"/>
    <col min="12" max="12" width="11" customWidth="1"/>
    <col min="13" max="13" width="14" customWidth="1"/>
    <col min="14" max="14" width="18" customWidth="1"/>
    <col min="15" max="15" width="10" customWidth="1"/>
    <col min="16" max="16" width="13" customWidth="1"/>
    <col min="17" max="17" width="18" customWidth="1"/>
    <col min="18" max="18" width="10" customWidth="1"/>
    <col min="19" max="19" width="13" customWidth="1"/>
    <col min="20" max="20" width="18" customWidth="1"/>
    <col min="21" max="21" width="10" customWidth="1"/>
    <col min="22" max="22" width="13" customWidth="1"/>
    <col min="23" max="23" width="9" customWidth="1"/>
    <col min="24" max="26" width="13" customWidth="1"/>
  </cols>
  <sheetData>
    <row r="1" spans="1:23" ht="30" customHeight="1" x14ac:dyDescent="0.45">
      <c r="A1" s="14" t="str">
        <f>Config!C11&amp;" — COMMISSION DATA  |  PRESALES"</f>
        <v>PT ITSEC ASIA — SALES COMMISSION TRACKER Q1 2026 — COMMISSION DATA  |  PRESALES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15.75" customHeight="1" x14ac:dyDescent="0.45">
      <c r="A2" s="13" t="str">
        <f>Config!C7&amp;" | Payout: "&amp;TEXT(Config!C10,"DD-MMM-YYYY")&amp;" | Presales rate: 3.5%×share | Up to 3 presales persons"</f>
        <v>Q1 2026 | Payout: 30-Apr-2026 | Presales rate: 3.5%×share | Up to 3 presales persons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15.75" customHeight="1" x14ac:dyDescent="0.45">
      <c r="A3" s="12" t="str">
        <f>"Quarter: "&amp;Config!C7&amp;"  |  "&amp;TEXT(Config!C8,"DD-MMM-YYYY")&amp;" → "&amp;TEXT(Config!C9,"DD-MMM-YYYY")</f>
        <v>Quarter: Q1 2026  |  01-Jan-2026 → 31-Mar-2026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6" customHeight="1" x14ac:dyDescent="0.45"/>
    <row r="5" spans="1:23" ht="15.75" customHeight="1" x14ac:dyDescent="0.45">
      <c r="A5" s="11" t="s">
        <v>222</v>
      </c>
      <c r="B5" s="11"/>
      <c r="C5" s="11"/>
      <c r="D5" s="11"/>
      <c r="E5" s="10" t="s">
        <v>223</v>
      </c>
      <c r="F5" s="10"/>
      <c r="G5" s="10"/>
      <c r="H5" s="10"/>
      <c r="I5" s="10"/>
      <c r="J5" s="10"/>
      <c r="K5" s="10"/>
      <c r="L5" s="10"/>
      <c r="M5" s="10"/>
      <c r="N5" s="9" t="s">
        <v>277</v>
      </c>
      <c r="O5" s="9"/>
      <c r="P5" s="9"/>
      <c r="Q5" s="9"/>
      <c r="R5" s="9"/>
      <c r="S5" s="9"/>
      <c r="T5" s="9"/>
      <c r="U5" s="9"/>
      <c r="V5" s="9"/>
      <c r="W5" s="137" t="s">
        <v>278</v>
      </c>
    </row>
    <row r="6" spans="1:23" ht="39.75" customHeight="1" x14ac:dyDescent="0.45">
      <c r="A6" s="60" t="s">
        <v>232</v>
      </c>
      <c r="B6" s="60" t="s">
        <v>233</v>
      </c>
      <c r="C6" s="60" t="s">
        <v>234</v>
      </c>
      <c r="D6" s="60" t="s">
        <v>235</v>
      </c>
      <c r="E6" s="60" t="s">
        <v>174</v>
      </c>
      <c r="F6" s="60" t="s">
        <v>236</v>
      </c>
      <c r="G6" s="60" t="s">
        <v>178</v>
      </c>
      <c r="H6" s="60" t="s">
        <v>237</v>
      </c>
      <c r="I6" s="60" t="s">
        <v>238</v>
      </c>
      <c r="J6" s="61" t="s">
        <v>239</v>
      </c>
      <c r="K6" s="61" t="s">
        <v>240</v>
      </c>
      <c r="L6" s="61" t="s">
        <v>241</v>
      </c>
      <c r="M6" s="60" t="s">
        <v>242</v>
      </c>
      <c r="N6" s="62" t="s">
        <v>279</v>
      </c>
      <c r="O6" s="62" t="s">
        <v>280</v>
      </c>
      <c r="P6" s="62" t="s">
        <v>281</v>
      </c>
      <c r="Q6" s="62" t="s">
        <v>282</v>
      </c>
      <c r="R6" s="62" t="s">
        <v>283</v>
      </c>
      <c r="S6" s="62" t="s">
        <v>284</v>
      </c>
      <c r="T6" s="62" t="s">
        <v>285</v>
      </c>
      <c r="U6" s="62" t="s">
        <v>286</v>
      </c>
      <c r="V6" s="62" t="s">
        <v>287</v>
      </c>
      <c r="W6" s="61" t="s">
        <v>288</v>
      </c>
    </row>
    <row r="7" spans="1:23" ht="18" customHeight="1" x14ac:dyDescent="0.45">
      <c r="A7" s="83">
        <v>4</v>
      </c>
      <c r="B7" s="84" t="str">
        <f>IF(A7&lt;&gt;"",INDEX('Raw Data'!$A$4:$A$203,A7-4+1),"")</f>
        <v>Pentest</v>
      </c>
      <c r="C7" s="84" t="str">
        <f>IF(A7&lt;&gt;"",INDEX('Raw Data'!$B$4:$B$203,A7-4+1),"")</f>
        <v>PT Dummy Bank Tbk</v>
      </c>
      <c r="D7" s="84" t="str">
        <f>IF(A7&lt;&gt;"",INDEX('Raw Data'!$C$4:$C$203,A7-4+1),"")</f>
        <v>INV-990001</v>
      </c>
      <c r="E7" s="51" t="str">
        <f>IF(A7&lt;&gt;"",INDEX('Raw Data'!$D$4:$D$203,A7-4+1),"")</f>
        <v>PRO-2026-901</v>
      </c>
      <c r="F7" s="84" t="str">
        <f>IF(A7&lt;&gt;"",INDEX('Raw Data'!$E$4:$E$203,A7-4+1),"")</f>
        <v>Closed</v>
      </c>
      <c r="G7" s="85" t="str">
        <f>IF(A7&lt;&gt;"",INDEX('Raw Data'!$H$4:$H$203,A7-4+1),"")</f>
        <v>Web Application Penetration Test - Phase 1</v>
      </c>
      <c r="H7" s="86">
        <f>IF(A7&lt;&gt;"",INDEX('Raw Data'!$I$4:$I$203,A7-4+1),"")</f>
        <v>46037</v>
      </c>
      <c r="I7" s="87">
        <f>IF(A7&lt;&gt;"",INDEX('Raw Data'!$O$4:$O$203,A7-4+1),"")</f>
        <v>196000000</v>
      </c>
      <c r="J7" s="88">
        <f>IF(A7&lt;&gt;"",IF(INDEX('Raw Data'!$D$4:$D$203,A7-4+1)&lt;&gt;"",INDEX('Raw Data'!$P$4:$P$203,A7-4+1),INDEX('Raw Data'!$R$4:$R$203,A7-4+1)),"")</f>
        <v>0</v>
      </c>
      <c r="K7" s="89">
        <f>IF(A7&lt;&gt;"",IF(INDEX('Raw Data'!$Q$4:$Q$203,A7-4+1)&lt;&gt;"",INDEX('Raw Data'!$Q$4:$Q$203,A7-4+1),""),"")</f>
        <v>0.45</v>
      </c>
      <c r="L7" s="89">
        <f>IF(NOT(A7&lt;&gt;""),"",IF(EXACT(TRIM(F7),"Closed"),IF(K7="",J7,MIN(J7,K7)),J7))</f>
        <v>0</v>
      </c>
      <c r="M7" s="90">
        <f>IF(A7&lt;&gt;"",INDEX('Raw Data'!$S$4:$S$203,A7-4+1),0)</f>
        <v>88200000</v>
      </c>
      <c r="N7" s="138" t="s">
        <v>151</v>
      </c>
      <c r="O7" s="139">
        <v>1</v>
      </c>
      <c r="P7" s="140">
        <f>IF(N7="",0,M7*Config!$C$25*O7)</f>
        <v>3087000.0000000005</v>
      </c>
      <c r="Q7" s="138"/>
      <c r="R7" s="139">
        <v>0</v>
      </c>
      <c r="S7" s="140">
        <f>IF(Q7="",0,M7*Config!$C$25*R7)</f>
        <v>0</v>
      </c>
      <c r="T7" s="138"/>
      <c r="U7" s="139">
        <v>0</v>
      </c>
      <c r="V7" s="140">
        <f>IF(T7="",0,M7*Config!$C$25*U7)</f>
        <v>0</v>
      </c>
      <c r="W7" s="107">
        <f>IF(AND(N7="",Q7="",T7=""),"",O7+R7+U7)</f>
        <v>1</v>
      </c>
    </row>
    <row r="8" spans="1:23" ht="18" customHeight="1" x14ac:dyDescent="0.45">
      <c r="A8" s="83">
        <v>5</v>
      </c>
      <c r="B8" s="46" t="str">
        <f>IF(A8&lt;&gt;"",INDEX('Raw Data'!$A$4:$A$203,A8-4+1),"")</f>
        <v>Governance</v>
      </c>
      <c r="C8" s="46" t="str">
        <f>IF(A8&lt;&gt;"",INDEX('Raw Data'!$B$4:$B$203,A8-4+1),"")</f>
        <v>PT Dummy Insurance</v>
      </c>
      <c r="D8" s="46" t="str">
        <f>IF(A8&lt;&gt;"",INDEX('Raw Data'!$C$4:$C$203,A8-4+1),"")</f>
        <v>INV-990002</v>
      </c>
      <c r="E8" s="109" t="str">
        <f>IF(A8&lt;&gt;"",INDEX('Raw Data'!$D$4:$D$203,A8-4+1),"")</f>
        <v>PRO-2026-902</v>
      </c>
      <c r="F8" s="46" t="str">
        <f>IF(A8&lt;&gt;"",INDEX('Raw Data'!$E$4:$E$203,A8-4+1),"")</f>
        <v>Active</v>
      </c>
      <c r="G8" s="110" t="str">
        <f>IF(A8&lt;&gt;"",INDEX('Raw Data'!$H$4:$H$203,A8-4+1),"")</f>
        <v>GRC Framework Assessment &amp; Remediation Term 1 - 50%</v>
      </c>
      <c r="H8" s="111">
        <f>IF(A8&lt;&gt;"",INDEX('Raw Data'!$I$4:$I$203,A8-4+1),"")</f>
        <v>46063</v>
      </c>
      <c r="I8" s="112">
        <f>IF(A8&lt;&gt;"",INDEX('Raw Data'!$O$4:$O$203,A8-4+1),"")</f>
        <v>147000000</v>
      </c>
      <c r="J8" s="113">
        <f>IF(A8&lt;&gt;"",IF(INDEX('Raw Data'!$D$4:$D$203,A8-4+1)&lt;&gt;"",INDEX('Raw Data'!$P$4:$P$203,A8-4+1),INDEX('Raw Data'!$R$4:$R$203,A8-4+1)),"")</f>
        <v>0.35</v>
      </c>
      <c r="K8" s="114" t="str">
        <f>IF(A8&lt;&gt;"",IF(INDEX('Raw Data'!$Q$4:$Q$203,A8-4+1)&lt;&gt;"",INDEX('Raw Data'!$Q$4:$Q$203,A8-4+1),""),"")</f>
        <v/>
      </c>
      <c r="L8" s="114">
        <f>IF(NOT(A8&lt;&gt;""),"",IF(EXACT(TRIM(F8),"Closed"),IF(K8="",J8,MIN(J8,K8)),J8))</f>
        <v>0.35</v>
      </c>
      <c r="M8" s="115">
        <f>IF(A8&lt;&gt;"",INDEX('Raw Data'!$S$4:$S$203,A8-4+1),0)</f>
        <v>51450000</v>
      </c>
      <c r="N8" s="141"/>
      <c r="O8" s="142">
        <v>1</v>
      </c>
      <c r="P8" s="143">
        <f>IF(N8="",0,M8*Config!$C$25*O8)</f>
        <v>0</v>
      </c>
      <c r="Q8" s="141"/>
      <c r="R8" s="142">
        <v>0</v>
      </c>
      <c r="S8" s="143">
        <f>IF(Q8="",0,M8*Config!$C$25*R8)</f>
        <v>0</v>
      </c>
      <c r="T8" s="141"/>
      <c r="U8" s="142">
        <v>0</v>
      </c>
      <c r="V8" s="143">
        <f>IF(T8="",0,M8*Config!$C$25*U8)</f>
        <v>0</v>
      </c>
      <c r="W8" s="107" t="str">
        <f>IF(AND(N8="",Q8="",T8=""),"",O8+R8+U8)</f>
        <v/>
      </c>
    </row>
    <row r="9" spans="1:23" ht="18" customHeight="1" x14ac:dyDescent="0.45">
      <c r="A9" s="83">
        <v>6</v>
      </c>
      <c r="B9" s="84" t="str">
        <f>IF(A9&lt;&gt;"",INDEX('Raw Data'!$A$4:$A$203,A9-4+1),"")</f>
        <v>Solution</v>
      </c>
      <c r="C9" s="84" t="str">
        <f>IF(A9&lt;&gt;"",INDEX('Raw Data'!$B$4:$B$203,A9-4+1),"")</f>
        <v>PT Dummy Telco</v>
      </c>
      <c r="D9" s="84" t="str">
        <f>IF(A9&lt;&gt;"",INDEX('Raw Data'!$C$4:$C$203,A9-4+1),"")</f>
        <v>INV-990003</v>
      </c>
      <c r="E9" s="51" t="str">
        <f>IF(A9&lt;&gt;"",INDEX('Raw Data'!$D$4:$D$203,A9-4+1),"")</f>
        <v>PRO-2026-903</v>
      </c>
      <c r="F9" s="84" t="str">
        <f>IF(A9&lt;&gt;"",INDEX('Raw Data'!$E$4:$E$203,A9-4+1),"")</f>
        <v>Closed</v>
      </c>
      <c r="G9" s="85" t="str">
        <f>IF(A9&lt;&gt;"",INDEX('Raw Data'!$H$4:$H$203,A9-4+1),"")</f>
        <v>Managed SOC Services - Month 3</v>
      </c>
      <c r="H9" s="86">
        <f>IF(A9&lt;&gt;"",INDEX('Raw Data'!$I$4:$I$203,A9-4+1),"")</f>
        <v>46082</v>
      </c>
      <c r="I9" s="87">
        <f>IF(A9&lt;&gt;"",INDEX('Raw Data'!$O$4:$O$203,A9-4+1),"")</f>
        <v>343000000</v>
      </c>
      <c r="J9" s="88">
        <f>IF(A9&lt;&gt;"",IF(INDEX('Raw Data'!$D$4:$D$203,A9-4+1)&lt;&gt;"",INDEX('Raw Data'!$P$4:$P$203,A9-4+1),INDEX('Raw Data'!$R$4:$R$203,A9-4+1)),"")</f>
        <v>0</v>
      </c>
      <c r="K9" s="89">
        <f>IF(A9&lt;&gt;"",IF(INDEX('Raw Data'!$Q$4:$Q$203,A9-4+1)&lt;&gt;"",INDEX('Raw Data'!$Q$4:$Q$203,A9-4+1),""),"")</f>
        <v>0.3</v>
      </c>
      <c r="L9" s="89">
        <f>IF(NOT(A9&lt;&gt;""),"",IF(EXACT(TRIM(F9),"Closed"),IF(K9="",J9,MIN(J9,K9)),J9))</f>
        <v>0</v>
      </c>
      <c r="M9" s="90">
        <f>IF(A9&lt;&gt;"",INDEX('Raw Data'!$S$4:$S$203,A9-4+1),0)</f>
        <v>102900000</v>
      </c>
      <c r="N9" s="138" t="s">
        <v>151</v>
      </c>
      <c r="O9" s="139">
        <v>1</v>
      </c>
      <c r="P9" s="140">
        <f>IF(N9="",0,M9*Config!$C$25*O9)</f>
        <v>3601500.0000000005</v>
      </c>
      <c r="Q9" s="138"/>
      <c r="R9" s="139">
        <v>0</v>
      </c>
      <c r="S9" s="140">
        <f>IF(Q9="",0,M9*Config!$C$25*R9)</f>
        <v>0</v>
      </c>
      <c r="T9" s="138"/>
      <c r="U9" s="139">
        <v>0</v>
      </c>
      <c r="V9" s="140">
        <f>IF(T9="",0,M9*Config!$C$25*U9)</f>
        <v>0</v>
      </c>
      <c r="W9" s="107">
        <f>IF(AND(N9="",Q9="",T9=""),"",O9+R9+U9)</f>
        <v>1</v>
      </c>
    </row>
    <row r="10" spans="1:23" ht="18" customHeight="1" x14ac:dyDescent="0.45">
      <c r="A10" s="83">
        <v>7</v>
      </c>
      <c r="B10" s="46" t="str">
        <f>IF(A10&lt;&gt;"",INDEX('Raw Data'!$A$4:$A$203,A10-4+1),"")</f>
        <v>MSS</v>
      </c>
      <c r="C10" s="46" t="str">
        <f>IF(A10&lt;&gt;"",INDEX('Raw Data'!$B$4:$B$203,A10-4+1),"")</f>
        <v>PT Dummy Energy</v>
      </c>
      <c r="D10" s="46" t="str">
        <f>IF(A10&lt;&gt;"",INDEX('Raw Data'!$C$4:$C$203,A10-4+1),"")</f>
        <v>INV-990004</v>
      </c>
      <c r="E10" s="109" t="str">
        <f>IF(A10&lt;&gt;"",INDEX('Raw Data'!$D$4:$D$203,A10-4+1),"")</f>
        <v>PRO-2026-904</v>
      </c>
      <c r="F10" s="46" t="str">
        <f>IF(A10&lt;&gt;"",INDEX('Raw Data'!$E$4:$E$203,A10-4+1),"")</f>
        <v>Closed - Missing Orange</v>
      </c>
      <c r="G10" s="110" t="str">
        <f>IF(A10&lt;&gt;"",INDEX('Raw Data'!$H$4:$H$203,A10-4+1),"")</f>
        <v>Vulnerability Assessment &amp; License Renewal</v>
      </c>
      <c r="H10" s="111">
        <f>IF(A10&lt;&gt;"",INDEX('Raw Data'!$I$4:$I$203,A10-4+1),"")</f>
        <v>46042</v>
      </c>
      <c r="I10" s="112">
        <f>IF(A10&lt;&gt;"",INDEX('Raw Data'!$O$4:$O$203,A10-4+1),"")</f>
        <v>490000000</v>
      </c>
      <c r="J10" s="113">
        <f>IF(A10&lt;&gt;"",IF(INDEX('Raw Data'!$D$4:$D$203,A10-4+1)&lt;&gt;"",INDEX('Raw Data'!$P$4:$P$203,A10-4+1),INDEX('Raw Data'!$R$4:$R$203,A10-4+1)),"")</f>
        <v>0.25</v>
      </c>
      <c r="K10" s="114" t="str">
        <f>IF(A10&lt;&gt;"",IF(INDEX('Raw Data'!$Q$4:$Q$203,A10-4+1)&lt;&gt;"",INDEX('Raw Data'!$Q$4:$Q$203,A10-4+1),""),"")</f>
        <v/>
      </c>
      <c r="L10" s="114">
        <f>IF(NOT(A10&lt;&gt;""),"",IF(EXACT(TRIM(F10),"Closed"),IF(K10="",J10,MIN(J10,K10)),J10))</f>
        <v>0.25</v>
      </c>
      <c r="M10" s="115">
        <f>IF(A10&lt;&gt;"",INDEX('Raw Data'!$S$4:$S$203,A10-4+1),0)</f>
        <v>122500000</v>
      </c>
      <c r="N10" s="141" t="s">
        <v>162</v>
      </c>
      <c r="O10" s="142">
        <v>0.5</v>
      </c>
      <c r="P10" s="143">
        <f>IF(N10="",0,M10*Config!$C$25*O10)</f>
        <v>2143750</v>
      </c>
      <c r="Q10" s="141" t="s">
        <v>154</v>
      </c>
      <c r="R10" s="142">
        <v>0.5</v>
      </c>
      <c r="S10" s="143">
        <f>IF(Q10="",0,M10*Config!$C$25*R10)</f>
        <v>2143750</v>
      </c>
      <c r="T10" s="141"/>
      <c r="U10" s="142">
        <v>0</v>
      </c>
      <c r="V10" s="143">
        <f>IF(T10="",0,M10*Config!$C$25*U10)</f>
        <v>0</v>
      </c>
      <c r="W10" s="107">
        <f>IF(AND(N10="",Q10="",T10=""),"",O10+R10+U10)</f>
        <v>1</v>
      </c>
    </row>
    <row r="11" spans="1:23" ht="18" customHeight="1" x14ac:dyDescent="0.45">
      <c r="A11" s="83">
        <v>8</v>
      </c>
      <c r="B11" s="84" t="str">
        <f>IF(A11&lt;&gt;"",INDEX('Raw Data'!$A$4:$A$203,A11-4+1),"")</f>
        <v>Forensic</v>
      </c>
      <c r="C11" s="84" t="str">
        <f>IF(A11&lt;&gt;"",INDEX('Raw Data'!$B$4:$B$203,A11-4+1),"")</f>
        <v>PT Dummy Retail</v>
      </c>
      <c r="D11" s="84" t="str">
        <f>IF(A11&lt;&gt;"",INDEX('Raw Data'!$C$4:$C$203,A11-4+1),"")</f>
        <v>INV-990005</v>
      </c>
      <c r="E11" s="51">
        <f>IF(A11&lt;&gt;"",INDEX('Raw Data'!$D$4:$D$203,A11-4+1),"")</f>
        <v>0</v>
      </c>
      <c r="F11" s="84" t="str">
        <f>IF(A11&lt;&gt;"",INDEX('Raw Data'!$E$4:$E$203,A11-4+1),"")</f>
        <v>Active</v>
      </c>
      <c r="G11" s="85" t="str">
        <f>IF(A11&lt;&gt;"",INDEX('Raw Data'!$H$4:$H$203,A11-4+1),"")</f>
        <v>Digital Forensic Investigation - Term 1 - 40%</v>
      </c>
      <c r="H11" s="86">
        <f>IF(A11&lt;&gt;"",INDEX('Raw Data'!$I$4:$I$203,A11-4+1),"")</f>
        <v>46101</v>
      </c>
      <c r="I11" s="87">
        <f>IF(A11&lt;&gt;"",INDEX('Raw Data'!$O$4:$O$203,A11-4+1),"")</f>
        <v>176400000</v>
      </c>
      <c r="J11" s="88">
        <f>IF(A11&lt;&gt;"",IF(INDEX('Raw Data'!$D$4:$D$203,A11-4+1)&lt;&gt;"",INDEX('Raw Data'!$P$4:$P$203,A11-4+1),INDEX('Raw Data'!$R$4:$R$203,A11-4+1)),"")</f>
        <v>0</v>
      </c>
      <c r="K11" s="89" t="str">
        <f>IF(A11&lt;&gt;"",IF(INDEX('Raw Data'!$Q$4:$Q$203,A11-4+1)&lt;&gt;"",INDEX('Raw Data'!$Q$4:$Q$203,A11-4+1),""),"")</f>
        <v/>
      </c>
      <c r="L11" s="89">
        <f>IF(NOT(A11&lt;&gt;""),"",IF(EXACT(TRIM(F11),"Closed"),IF(K11="",J11,MIN(J11,K11)),J11))</f>
        <v>0</v>
      </c>
      <c r="M11" s="90">
        <f>IF(A11&lt;&gt;"",INDEX('Raw Data'!$S$4:$S$203,A11-4+1),0)</f>
        <v>70560000</v>
      </c>
      <c r="N11" s="138" t="s">
        <v>153</v>
      </c>
      <c r="O11" s="139">
        <v>1</v>
      </c>
      <c r="P11" s="140">
        <f>IF(N11="",0,M11*Config!$C$25*O11)</f>
        <v>2469600.0000000005</v>
      </c>
      <c r="Q11" s="138"/>
      <c r="R11" s="139">
        <v>0</v>
      </c>
      <c r="S11" s="140">
        <f>IF(Q11="",0,M11*Config!$C$25*R11)</f>
        <v>0</v>
      </c>
      <c r="T11" s="138"/>
      <c r="U11" s="139">
        <v>0</v>
      </c>
      <c r="V11" s="140">
        <f>IF(T11="",0,M11*Config!$C$25*U11)</f>
        <v>0</v>
      </c>
      <c r="W11" s="107">
        <f>IF(AND(N11="",Q11="",T11=""),"",O11+R11+U11)</f>
        <v>1</v>
      </c>
    </row>
    <row r="12" spans="1:23" ht="18" customHeight="1" x14ac:dyDescent="0.45">
      <c r="A12" s="83"/>
      <c r="B12" s="46"/>
      <c r="C12" s="46"/>
      <c r="D12" s="46"/>
      <c r="E12" s="109"/>
      <c r="F12" s="46"/>
      <c r="G12" s="110"/>
      <c r="H12" s="111"/>
      <c r="I12" s="112"/>
      <c r="J12" s="113"/>
      <c r="K12" s="114"/>
      <c r="L12" s="114"/>
      <c r="M12" s="115"/>
      <c r="N12" s="141"/>
      <c r="O12" s="142"/>
      <c r="P12" s="143"/>
      <c r="Q12" s="141"/>
      <c r="R12" s="142"/>
      <c r="S12" s="143"/>
      <c r="T12" s="141"/>
      <c r="U12" s="142"/>
      <c r="V12" s="143"/>
      <c r="W12" s="107"/>
    </row>
    <row r="13" spans="1:23" ht="18" customHeight="1" x14ac:dyDescent="0.45">
      <c r="A13" s="83"/>
      <c r="B13" s="46"/>
      <c r="C13" s="84"/>
      <c r="D13" s="84"/>
      <c r="E13" s="51"/>
      <c r="F13" s="84"/>
      <c r="G13" s="85"/>
      <c r="H13" s="86"/>
      <c r="I13" s="87"/>
      <c r="J13" s="88"/>
      <c r="K13" s="89"/>
      <c r="L13" s="89"/>
      <c r="M13" s="90"/>
      <c r="N13" s="138"/>
      <c r="O13" s="139"/>
      <c r="P13" s="140"/>
      <c r="Q13" s="138"/>
      <c r="R13" s="139"/>
      <c r="S13" s="140"/>
      <c r="T13" s="138"/>
      <c r="U13" s="139"/>
      <c r="V13" s="140"/>
      <c r="W13" s="107"/>
    </row>
    <row r="14" spans="1:23" ht="18" customHeight="1" x14ac:dyDescent="0.45">
      <c r="A14" s="83"/>
      <c r="B14" s="46"/>
      <c r="C14" s="46"/>
      <c r="D14" s="46"/>
      <c r="E14" s="109"/>
      <c r="F14" s="46"/>
      <c r="G14" s="110"/>
      <c r="H14" s="111"/>
      <c r="I14" s="112"/>
      <c r="J14" s="113"/>
      <c r="K14" s="114"/>
      <c r="L14" s="114"/>
      <c r="M14" s="115"/>
      <c r="N14" s="141"/>
      <c r="O14" s="142"/>
      <c r="P14" s="143"/>
      <c r="Q14" s="141"/>
      <c r="R14" s="142"/>
      <c r="S14" s="143"/>
      <c r="T14" s="141"/>
      <c r="U14" s="142"/>
      <c r="V14" s="143"/>
      <c r="W14" s="107"/>
    </row>
    <row r="15" spans="1:23" ht="18" customHeight="1" x14ac:dyDescent="0.45">
      <c r="A15" s="83"/>
      <c r="B15" s="84"/>
      <c r="C15" s="84"/>
      <c r="D15" s="84"/>
      <c r="E15" s="51"/>
      <c r="F15" s="84"/>
      <c r="G15" s="85"/>
      <c r="H15" s="86"/>
      <c r="I15" s="87"/>
      <c r="J15" s="88"/>
      <c r="K15" s="89"/>
      <c r="L15" s="89"/>
      <c r="M15" s="90"/>
      <c r="N15" s="138"/>
      <c r="O15" s="139"/>
      <c r="P15" s="140"/>
      <c r="Q15" s="138"/>
      <c r="R15" s="139"/>
      <c r="S15" s="140"/>
      <c r="T15" s="138"/>
      <c r="U15" s="139"/>
      <c r="V15" s="140"/>
      <c r="W15" s="107"/>
    </row>
    <row r="16" spans="1:23" ht="18" customHeight="1" x14ac:dyDescent="0.45">
      <c r="A16" s="83"/>
      <c r="B16" s="46"/>
      <c r="C16" s="46"/>
      <c r="D16" s="46"/>
      <c r="E16" s="109"/>
      <c r="F16" s="46"/>
      <c r="G16" s="110"/>
      <c r="H16" s="111"/>
      <c r="I16" s="112"/>
      <c r="J16" s="113"/>
      <c r="K16" s="114"/>
      <c r="L16" s="114"/>
      <c r="M16" s="115"/>
      <c r="N16" s="141"/>
      <c r="O16" s="142"/>
      <c r="P16" s="143"/>
      <c r="Q16" s="141"/>
      <c r="R16" s="142"/>
      <c r="S16" s="143"/>
      <c r="T16" s="141"/>
      <c r="U16" s="142"/>
      <c r="V16" s="143"/>
      <c r="W16" s="107"/>
    </row>
    <row r="17" spans="1:23" ht="18" customHeight="1" x14ac:dyDescent="0.45">
      <c r="A17" s="83"/>
      <c r="B17" s="84"/>
      <c r="C17" s="84"/>
      <c r="D17" s="84"/>
      <c r="E17" s="51"/>
      <c r="F17" s="84"/>
      <c r="G17" s="85"/>
      <c r="H17" s="86"/>
      <c r="I17" s="87"/>
      <c r="J17" s="88"/>
      <c r="K17" s="89"/>
      <c r="L17" s="89"/>
      <c r="M17" s="90"/>
      <c r="N17" s="138"/>
      <c r="O17" s="139"/>
      <c r="P17" s="140"/>
      <c r="Q17" s="138"/>
      <c r="R17" s="139"/>
      <c r="S17" s="140"/>
      <c r="T17" s="138"/>
      <c r="U17" s="139"/>
      <c r="V17" s="140"/>
      <c r="W17" s="107"/>
    </row>
    <row r="18" spans="1:23" ht="18" customHeight="1" x14ac:dyDescent="0.45">
      <c r="A18" s="83"/>
      <c r="B18" s="46"/>
      <c r="C18" s="46"/>
      <c r="D18" s="46"/>
      <c r="E18" s="109"/>
      <c r="F18" s="46"/>
      <c r="G18" s="110"/>
      <c r="H18" s="111"/>
      <c r="I18" s="112"/>
      <c r="J18" s="113"/>
      <c r="K18" s="114"/>
      <c r="L18" s="114"/>
      <c r="M18" s="115"/>
      <c r="N18" s="141"/>
      <c r="O18" s="142"/>
      <c r="P18" s="143"/>
      <c r="Q18" s="141"/>
      <c r="R18" s="142"/>
      <c r="S18" s="143"/>
      <c r="T18" s="141"/>
      <c r="U18" s="142"/>
      <c r="V18" s="143"/>
      <c r="W18" s="107"/>
    </row>
    <row r="19" spans="1:23" ht="18" customHeight="1" x14ac:dyDescent="0.45">
      <c r="A19" s="83"/>
      <c r="B19" s="84"/>
      <c r="C19" s="84"/>
      <c r="D19" s="84"/>
      <c r="E19" s="51"/>
      <c r="F19" s="84"/>
      <c r="G19" s="85"/>
      <c r="H19" s="86"/>
      <c r="I19" s="87"/>
      <c r="J19" s="88"/>
      <c r="K19" s="89"/>
      <c r="L19" s="89"/>
      <c r="M19" s="90"/>
      <c r="N19" s="138"/>
      <c r="O19" s="139"/>
      <c r="P19" s="140"/>
      <c r="Q19" s="138"/>
      <c r="R19" s="139"/>
      <c r="S19" s="140"/>
      <c r="T19" s="138"/>
      <c r="U19" s="139"/>
      <c r="V19" s="140"/>
      <c r="W19" s="107"/>
    </row>
    <row r="20" spans="1:23" ht="18" customHeight="1" x14ac:dyDescent="0.45">
      <c r="A20" s="83"/>
      <c r="B20" s="46"/>
      <c r="C20" s="46"/>
      <c r="D20" s="46"/>
      <c r="E20" s="109"/>
      <c r="F20" s="46"/>
      <c r="G20" s="110"/>
      <c r="H20" s="111"/>
      <c r="I20" s="112"/>
      <c r="J20" s="113"/>
      <c r="K20" s="114"/>
      <c r="L20" s="114"/>
      <c r="M20" s="115"/>
      <c r="N20" s="141"/>
      <c r="O20" s="142"/>
      <c r="P20" s="143"/>
      <c r="Q20" s="141"/>
      <c r="R20" s="142"/>
      <c r="S20" s="143"/>
      <c r="T20" s="141"/>
      <c r="U20" s="142"/>
      <c r="V20" s="143"/>
      <c r="W20" s="107"/>
    </row>
    <row r="21" spans="1:23" ht="18" customHeight="1" x14ac:dyDescent="0.45">
      <c r="A21" s="83"/>
      <c r="B21" s="84"/>
      <c r="C21" s="84"/>
      <c r="D21" s="84"/>
      <c r="E21" s="51"/>
      <c r="F21" s="84"/>
      <c r="G21" s="85"/>
      <c r="H21" s="86"/>
      <c r="I21" s="87"/>
      <c r="J21" s="88"/>
      <c r="K21" s="89"/>
      <c r="L21" s="89"/>
      <c r="M21" s="90"/>
      <c r="N21" s="138"/>
      <c r="O21" s="139"/>
      <c r="P21" s="140"/>
      <c r="Q21" s="138"/>
      <c r="R21" s="139"/>
      <c r="S21" s="140"/>
      <c r="T21" s="138"/>
      <c r="U21" s="139"/>
      <c r="V21" s="140"/>
      <c r="W21" s="107"/>
    </row>
    <row r="22" spans="1:23" ht="18" customHeight="1" x14ac:dyDescent="0.45">
      <c r="A22" s="83"/>
      <c r="B22" s="46"/>
      <c r="C22" s="46"/>
      <c r="D22" s="46"/>
      <c r="E22" s="109"/>
      <c r="F22" s="46"/>
      <c r="G22" s="110"/>
      <c r="H22" s="111"/>
      <c r="I22" s="112"/>
      <c r="J22" s="113"/>
      <c r="K22" s="114"/>
      <c r="L22" s="114"/>
      <c r="M22" s="115"/>
      <c r="N22" s="141"/>
      <c r="O22" s="142"/>
      <c r="P22" s="143"/>
      <c r="Q22" s="141"/>
      <c r="R22" s="142"/>
      <c r="S22" s="143"/>
      <c r="T22" s="141"/>
      <c r="U22" s="142"/>
      <c r="V22" s="143"/>
      <c r="W22" s="107"/>
    </row>
    <row r="23" spans="1:23" ht="18" customHeight="1" x14ac:dyDescent="0.45">
      <c r="A23" s="83"/>
      <c r="B23" s="84"/>
      <c r="C23" s="84"/>
      <c r="D23" s="84"/>
      <c r="E23" s="51"/>
      <c r="F23" s="84"/>
      <c r="G23" s="85"/>
      <c r="H23" s="86"/>
      <c r="I23" s="87"/>
      <c r="J23" s="88"/>
      <c r="K23" s="89"/>
      <c r="L23" s="89"/>
      <c r="M23" s="90"/>
      <c r="N23" s="138"/>
      <c r="O23" s="139"/>
      <c r="P23" s="140"/>
      <c r="Q23" s="138"/>
      <c r="R23" s="139"/>
      <c r="S23" s="140"/>
      <c r="T23" s="138"/>
      <c r="U23" s="139"/>
      <c r="V23" s="140"/>
      <c r="W23" s="107"/>
    </row>
    <row r="24" spans="1:23" ht="18" customHeight="1" x14ac:dyDescent="0.45">
      <c r="A24" s="83"/>
      <c r="B24" s="46"/>
      <c r="C24" s="46"/>
      <c r="D24" s="46"/>
      <c r="E24" s="109"/>
      <c r="F24" s="46"/>
      <c r="G24" s="110"/>
      <c r="H24" s="111"/>
      <c r="I24" s="112"/>
      <c r="J24" s="113"/>
      <c r="K24" s="114"/>
      <c r="L24" s="114"/>
      <c r="M24" s="115"/>
      <c r="N24" s="141"/>
      <c r="O24" s="142"/>
      <c r="P24" s="143"/>
      <c r="Q24" s="141"/>
      <c r="R24" s="142"/>
      <c r="S24" s="143"/>
      <c r="T24" s="141"/>
      <c r="U24" s="142"/>
      <c r="V24" s="143"/>
      <c r="W24" s="107"/>
    </row>
    <row r="25" spans="1:23" ht="18" customHeight="1" x14ac:dyDescent="0.45">
      <c r="A25" s="83"/>
      <c r="B25" s="84"/>
      <c r="C25" s="84"/>
      <c r="D25" s="84"/>
      <c r="E25" s="51"/>
      <c r="F25" s="84"/>
      <c r="G25" s="85"/>
      <c r="H25" s="86"/>
      <c r="I25" s="87"/>
      <c r="J25" s="88"/>
      <c r="K25" s="89"/>
      <c r="L25" s="89"/>
      <c r="M25" s="90"/>
      <c r="N25" s="138"/>
      <c r="O25" s="139"/>
      <c r="P25" s="140"/>
      <c r="Q25" s="138"/>
      <c r="R25" s="139"/>
      <c r="S25" s="140"/>
      <c r="T25" s="138"/>
      <c r="U25" s="139"/>
      <c r="V25" s="140"/>
      <c r="W25" s="107"/>
    </row>
    <row r="26" spans="1:23" ht="18" customHeight="1" x14ac:dyDescent="0.45">
      <c r="A26" s="83"/>
      <c r="B26" s="46"/>
      <c r="C26" s="46"/>
      <c r="D26" s="46"/>
      <c r="E26" s="109"/>
      <c r="F26" s="46"/>
      <c r="G26" s="110"/>
      <c r="H26" s="111"/>
      <c r="I26" s="112"/>
      <c r="J26" s="113"/>
      <c r="K26" s="114"/>
      <c r="L26" s="114"/>
      <c r="M26" s="115"/>
      <c r="N26" s="141"/>
      <c r="O26" s="142"/>
      <c r="P26" s="143"/>
      <c r="Q26" s="141"/>
      <c r="R26" s="142"/>
      <c r="S26" s="143"/>
      <c r="T26" s="141"/>
      <c r="U26" s="142"/>
      <c r="V26" s="143"/>
      <c r="W26" s="107"/>
    </row>
    <row r="27" spans="1:23" ht="18" customHeight="1" x14ac:dyDescent="0.45">
      <c r="A27" s="83"/>
      <c r="B27" s="84"/>
      <c r="C27" s="84"/>
      <c r="D27" s="84"/>
      <c r="E27" s="51"/>
      <c r="F27" s="84"/>
      <c r="G27" s="85"/>
      <c r="H27" s="86"/>
      <c r="I27" s="87"/>
      <c r="J27" s="88"/>
      <c r="K27" s="89"/>
      <c r="L27" s="89"/>
      <c r="M27" s="90"/>
      <c r="N27" s="138"/>
      <c r="O27" s="139"/>
      <c r="P27" s="140"/>
      <c r="Q27" s="138"/>
      <c r="R27" s="139"/>
      <c r="S27" s="140"/>
      <c r="T27" s="138"/>
      <c r="U27" s="139"/>
      <c r="V27" s="140"/>
      <c r="W27" s="107"/>
    </row>
    <row r="28" spans="1:23" ht="18" customHeight="1" x14ac:dyDescent="0.45">
      <c r="A28" s="83"/>
      <c r="B28" s="46"/>
      <c r="C28" s="46"/>
      <c r="D28" s="46"/>
      <c r="E28" s="109"/>
      <c r="F28" s="46"/>
      <c r="G28" s="110"/>
      <c r="H28" s="111"/>
      <c r="I28" s="112"/>
      <c r="J28" s="113"/>
      <c r="K28" s="114"/>
      <c r="L28" s="114"/>
      <c r="M28" s="115"/>
      <c r="N28" s="141"/>
      <c r="O28" s="142"/>
      <c r="P28" s="143"/>
      <c r="Q28" s="141"/>
      <c r="R28" s="142"/>
      <c r="S28" s="143"/>
      <c r="T28" s="141"/>
      <c r="U28" s="142"/>
      <c r="V28" s="143"/>
      <c r="W28" s="107"/>
    </row>
    <row r="29" spans="1:23" ht="18" customHeight="1" x14ac:dyDescent="0.45">
      <c r="A29" s="83"/>
      <c r="B29" s="84"/>
      <c r="C29" s="84"/>
      <c r="D29" s="84"/>
      <c r="E29" s="51"/>
      <c r="F29" s="84"/>
      <c r="G29" s="85"/>
      <c r="H29" s="86"/>
      <c r="I29" s="87"/>
      <c r="J29" s="88"/>
      <c r="K29" s="89"/>
      <c r="L29" s="89"/>
      <c r="M29" s="90"/>
      <c r="N29" s="138"/>
      <c r="O29" s="139"/>
      <c r="P29" s="140"/>
      <c r="Q29" s="138"/>
      <c r="R29" s="139"/>
      <c r="S29" s="140"/>
      <c r="T29" s="138"/>
      <c r="U29" s="139"/>
      <c r="V29" s="140"/>
      <c r="W29" s="107"/>
    </row>
    <row r="30" spans="1:23" ht="18" customHeight="1" x14ac:dyDescent="0.45">
      <c r="A30" s="83"/>
      <c r="B30" s="46"/>
      <c r="C30" s="46"/>
      <c r="D30" s="46"/>
      <c r="E30" s="109"/>
      <c r="F30" s="46"/>
      <c r="G30" s="110"/>
      <c r="H30" s="111"/>
      <c r="I30" s="112"/>
      <c r="J30" s="113"/>
      <c r="K30" s="114"/>
      <c r="L30" s="114"/>
      <c r="M30" s="115"/>
      <c r="N30" s="141"/>
      <c r="O30" s="142"/>
      <c r="P30" s="143"/>
      <c r="Q30" s="141"/>
      <c r="R30" s="142"/>
      <c r="S30" s="143"/>
      <c r="T30" s="141"/>
      <c r="U30" s="142"/>
      <c r="V30" s="143"/>
      <c r="W30" s="107"/>
    </row>
    <row r="31" spans="1:23" ht="18" customHeight="1" x14ac:dyDescent="0.45">
      <c r="A31" s="83"/>
      <c r="B31" s="84"/>
      <c r="C31" s="84"/>
      <c r="D31" s="84"/>
      <c r="E31" s="51"/>
      <c r="F31" s="84"/>
      <c r="G31" s="85"/>
      <c r="H31" s="86"/>
      <c r="I31" s="87"/>
      <c r="J31" s="88"/>
      <c r="K31" s="89"/>
      <c r="L31" s="89"/>
      <c r="M31" s="90"/>
      <c r="N31" s="138"/>
      <c r="O31" s="139"/>
      <c r="P31" s="140"/>
      <c r="Q31" s="138"/>
      <c r="R31" s="139"/>
      <c r="S31" s="140"/>
      <c r="T31" s="138"/>
      <c r="U31" s="139"/>
      <c r="V31" s="140"/>
      <c r="W31" s="107"/>
    </row>
    <row r="32" spans="1:23" ht="18" customHeight="1" x14ac:dyDescent="0.45">
      <c r="A32" s="83"/>
      <c r="B32" s="46"/>
      <c r="C32" s="46"/>
      <c r="D32" s="46"/>
      <c r="E32" s="109"/>
      <c r="F32" s="46"/>
      <c r="G32" s="110"/>
      <c r="H32" s="111"/>
      <c r="I32" s="112"/>
      <c r="J32" s="113"/>
      <c r="K32" s="114"/>
      <c r="L32" s="114"/>
      <c r="M32" s="115"/>
      <c r="N32" s="141"/>
      <c r="O32" s="142"/>
      <c r="P32" s="143"/>
      <c r="Q32" s="141"/>
      <c r="R32" s="142"/>
      <c r="S32" s="143"/>
      <c r="T32" s="141"/>
      <c r="U32" s="142"/>
      <c r="V32" s="143"/>
      <c r="W32" s="107"/>
    </row>
    <row r="33" spans="1:23" ht="18" customHeight="1" x14ac:dyDescent="0.45">
      <c r="A33" s="83"/>
      <c r="B33" s="84"/>
      <c r="C33" s="84"/>
      <c r="D33" s="84"/>
      <c r="E33" s="51"/>
      <c r="F33" s="84"/>
      <c r="G33" s="85"/>
      <c r="H33" s="86"/>
      <c r="I33" s="87"/>
      <c r="J33" s="88"/>
      <c r="K33" s="89"/>
      <c r="L33" s="89"/>
      <c r="M33" s="90"/>
      <c r="N33" s="138"/>
      <c r="O33" s="139"/>
      <c r="P33" s="140"/>
      <c r="Q33" s="138"/>
      <c r="R33" s="139"/>
      <c r="S33" s="140"/>
      <c r="T33" s="138"/>
      <c r="U33" s="139"/>
      <c r="V33" s="140"/>
      <c r="W33" s="107"/>
    </row>
    <row r="34" spans="1:23" ht="18" customHeight="1" x14ac:dyDescent="0.45">
      <c r="A34" s="83"/>
      <c r="B34" s="46"/>
      <c r="C34" s="46"/>
      <c r="D34" s="46"/>
      <c r="E34" s="109"/>
      <c r="F34" s="46"/>
      <c r="G34" s="110"/>
      <c r="H34" s="111"/>
      <c r="I34" s="112"/>
      <c r="J34" s="113"/>
      <c r="K34" s="114"/>
      <c r="L34" s="114"/>
      <c r="M34" s="115"/>
      <c r="N34" s="141"/>
      <c r="O34" s="142"/>
      <c r="P34" s="143"/>
      <c r="Q34" s="141"/>
      <c r="R34" s="142"/>
      <c r="S34" s="143"/>
      <c r="T34" s="141"/>
      <c r="U34" s="142"/>
      <c r="V34" s="143"/>
      <c r="W34" s="107"/>
    </row>
    <row r="35" spans="1:23" ht="18" customHeight="1" x14ac:dyDescent="0.45">
      <c r="A35" s="83"/>
      <c r="B35" s="84"/>
      <c r="C35" s="84"/>
      <c r="D35" s="84"/>
      <c r="E35" s="51"/>
      <c r="F35" s="84"/>
      <c r="G35" s="85"/>
      <c r="H35" s="86"/>
      <c r="I35" s="87"/>
      <c r="J35" s="88"/>
      <c r="K35" s="89"/>
      <c r="L35" s="89"/>
      <c r="M35" s="90"/>
      <c r="N35" s="138"/>
      <c r="O35" s="139"/>
      <c r="P35" s="140"/>
      <c r="Q35" s="138"/>
      <c r="R35" s="139"/>
      <c r="S35" s="140"/>
      <c r="T35" s="138"/>
      <c r="U35" s="139"/>
      <c r="V35" s="140"/>
      <c r="W35" s="107"/>
    </row>
    <row r="36" spans="1:23" ht="18" customHeight="1" x14ac:dyDescent="0.45">
      <c r="A36" s="83"/>
      <c r="B36" s="46"/>
      <c r="C36" s="46"/>
      <c r="D36" s="46"/>
      <c r="E36" s="109"/>
      <c r="F36" s="46"/>
      <c r="G36" s="110"/>
      <c r="H36" s="111"/>
      <c r="I36" s="112"/>
      <c r="J36" s="113"/>
      <c r="K36" s="114"/>
      <c r="L36" s="114"/>
      <c r="M36" s="115"/>
      <c r="N36" s="141"/>
      <c r="O36" s="142"/>
      <c r="P36" s="143"/>
      <c r="Q36" s="141"/>
      <c r="R36" s="142"/>
      <c r="S36" s="143"/>
      <c r="T36" s="141"/>
      <c r="U36" s="142"/>
      <c r="V36" s="143"/>
      <c r="W36" s="107"/>
    </row>
    <row r="37" spans="1:23" ht="18" customHeight="1" x14ac:dyDescent="0.45">
      <c r="A37" s="83"/>
      <c r="B37" s="84"/>
      <c r="C37" s="84"/>
      <c r="D37" s="84"/>
      <c r="E37" s="51"/>
      <c r="F37" s="84"/>
      <c r="G37" s="85"/>
      <c r="H37" s="86"/>
      <c r="I37" s="87"/>
      <c r="J37" s="88"/>
      <c r="K37" s="89"/>
      <c r="L37" s="89"/>
      <c r="M37" s="90"/>
      <c r="N37" s="138"/>
      <c r="O37" s="139"/>
      <c r="P37" s="140"/>
      <c r="Q37" s="138"/>
      <c r="R37" s="139"/>
      <c r="S37" s="140"/>
      <c r="T37" s="138"/>
      <c r="U37" s="139"/>
      <c r="V37" s="140"/>
      <c r="W37" s="107"/>
    </row>
    <row r="38" spans="1:23" ht="18" customHeight="1" x14ac:dyDescent="0.45">
      <c r="A38" s="83"/>
      <c r="B38" s="46"/>
      <c r="C38" s="46"/>
      <c r="D38" s="46"/>
      <c r="E38" s="109"/>
      <c r="F38" s="46"/>
      <c r="G38" s="110"/>
      <c r="H38" s="111"/>
      <c r="I38" s="112"/>
      <c r="J38" s="113"/>
      <c r="K38" s="114"/>
      <c r="L38" s="114"/>
      <c r="M38" s="115"/>
      <c r="N38" s="141"/>
      <c r="O38" s="142"/>
      <c r="P38" s="143"/>
      <c r="Q38" s="141"/>
      <c r="R38" s="142"/>
      <c r="S38" s="143"/>
      <c r="T38" s="141"/>
      <c r="U38" s="142"/>
      <c r="V38" s="143"/>
      <c r="W38" s="107"/>
    </row>
    <row r="39" spans="1:23" ht="18" customHeight="1" x14ac:dyDescent="0.45">
      <c r="A39" s="83"/>
      <c r="B39" s="84"/>
      <c r="C39" s="84"/>
      <c r="D39" s="84"/>
      <c r="E39" s="51"/>
      <c r="F39" s="84"/>
      <c r="G39" s="85"/>
      <c r="H39" s="86"/>
      <c r="I39" s="87"/>
      <c r="J39" s="88"/>
      <c r="K39" s="89"/>
      <c r="L39" s="89"/>
      <c r="M39" s="90"/>
      <c r="N39" s="138"/>
      <c r="O39" s="139"/>
      <c r="P39" s="140"/>
      <c r="Q39" s="138"/>
      <c r="R39" s="139"/>
      <c r="S39" s="140"/>
      <c r="T39" s="138"/>
      <c r="U39" s="139"/>
      <c r="V39" s="140"/>
      <c r="W39" s="107"/>
    </row>
    <row r="40" spans="1:23" ht="18" customHeight="1" x14ac:dyDescent="0.45">
      <c r="A40" s="83"/>
      <c r="B40" s="46"/>
      <c r="C40" s="46"/>
      <c r="D40" s="46"/>
      <c r="E40" s="109"/>
      <c r="F40" s="46"/>
      <c r="G40" s="110"/>
      <c r="H40" s="111"/>
      <c r="I40" s="112"/>
      <c r="J40" s="113"/>
      <c r="K40" s="114"/>
      <c r="L40" s="114"/>
      <c r="M40" s="115"/>
      <c r="N40" s="141"/>
      <c r="O40" s="142"/>
      <c r="P40" s="143"/>
      <c r="Q40" s="141"/>
      <c r="R40" s="142"/>
      <c r="S40" s="143"/>
      <c r="T40" s="141"/>
      <c r="U40" s="142"/>
      <c r="V40" s="143"/>
      <c r="W40" s="107"/>
    </row>
    <row r="41" spans="1:23" ht="18" customHeight="1" x14ac:dyDescent="0.45">
      <c r="A41" s="83"/>
      <c r="B41" s="84"/>
      <c r="C41" s="84"/>
      <c r="D41" s="84"/>
      <c r="E41" s="51"/>
      <c r="F41" s="84"/>
      <c r="G41" s="85"/>
      <c r="H41" s="86"/>
      <c r="I41" s="87"/>
      <c r="J41" s="88"/>
      <c r="K41" s="89"/>
      <c r="L41" s="89"/>
      <c r="M41" s="90"/>
      <c r="N41" s="138"/>
      <c r="O41" s="139"/>
      <c r="P41" s="140"/>
      <c r="Q41" s="138"/>
      <c r="R41" s="139"/>
      <c r="S41" s="140"/>
      <c r="T41" s="138"/>
      <c r="U41" s="139"/>
      <c r="V41" s="140"/>
      <c r="W41" s="107"/>
    </row>
    <row r="42" spans="1:23" ht="18" customHeight="1" x14ac:dyDescent="0.45">
      <c r="A42" s="83"/>
      <c r="B42" s="46"/>
      <c r="C42" s="46"/>
      <c r="D42" s="46"/>
      <c r="E42" s="109"/>
      <c r="F42" s="46"/>
      <c r="G42" s="110"/>
      <c r="H42" s="111"/>
      <c r="I42" s="112"/>
      <c r="J42" s="113"/>
      <c r="K42" s="114"/>
      <c r="L42" s="114"/>
      <c r="M42" s="115"/>
      <c r="N42" s="141"/>
      <c r="O42" s="142"/>
      <c r="P42" s="143"/>
      <c r="Q42" s="141"/>
      <c r="R42" s="142"/>
      <c r="S42" s="143"/>
      <c r="T42" s="141"/>
      <c r="U42" s="142"/>
      <c r="V42" s="143"/>
      <c r="W42" s="107"/>
    </row>
    <row r="43" spans="1:23" ht="18" customHeight="1" x14ac:dyDescent="0.45">
      <c r="A43" s="83"/>
      <c r="B43" s="84"/>
      <c r="C43" s="84"/>
      <c r="D43" s="84"/>
      <c r="E43" s="51"/>
      <c r="F43" s="84"/>
      <c r="G43" s="85"/>
      <c r="H43" s="86"/>
      <c r="I43" s="87"/>
      <c r="J43" s="88"/>
      <c r="K43" s="89"/>
      <c r="L43" s="89"/>
      <c r="M43" s="90"/>
      <c r="N43" s="138"/>
      <c r="O43" s="139"/>
      <c r="P43" s="140"/>
      <c r="Q43" s="138"/>
      <c r="R43" s="139"/>
      <c r="S43" s="140"/>
      <c r="T43" s="138"/>
      <c r="U43" s="139"/>
      <c r="V43" s="140"/>
      <c r="W43" s="107"/>
    </row>
    <row r="44" spans="1:23" ht="18" customHeight="1" x14ac:dyDescent="0.45">
      <c r="A44" s="83"/>
      <c r="B44" s="46"/>
      <c r="C44" s="46"/>
      <c r="D44" s="46"/>
      <c r="E44" s="109"/>
      <c r="F44" s="46"/>
      <c r="G44" s="110"/>
      <c r="H44" s="111"/>
      <c r="I44" s="112"/>
      <c r="J44" s="113"/>
      <c r="K44" s="114"/>
      <c r="L44" s="114"/>
      <c r="M44" s="115"/>
      <c r="N44" s="141"/>
      <c r="O44" s="142"/>
      <c r="P44" s="143"/>
      <c r="Q44" s="141"/>
      <c r="R44" s="142"/>
      <c r="S44" s="143"/>
      <c r="T44" s="141"/>
      <c r="U44" s="142"/>
      <c r="V44" s="143"/>
      <c r="W44" s="107"/>
    </row>
    <row r="45" spans="1:23" ht="18" customHeight="1" x14ac:dyDescent="0.45">
      <c r="A45" s="83"/>
      <c r="B45" s="84"/>
      <c r="C45" s="84"/>
      <c r="D45" s="84"/>
      <c r="E45" s="51"/>
      <c r="F45" s="84"/>
      <c r="G45" s="85"/>
      <c r="H45" s="86"/>
      <c r="I45" s="87"/>
      <c r="J45" s="88"/>
      <c r="K45" s="89"/>
      <c r="L45" s="89"/>
      <c r="M45" s="90"/>
      <c r="N45" s="138"/>
      <c r="O45" s="139"/>
      <c r="P45" s="140"/>
      <c r="Q45" s="138"/>
      <c r="R45" s="139"/>
      <c r="S45" s="140"/>
      <c r="T45" s="138"/>
      <c r="U45" s="139"/>
      <c r="V45" s="140"/>
      <c r="W45" s="107"/>
    </row>
    <row r="46" spans="1:23" ht="18" customHeight="1" x14ac:dyDescent="0.45">
      <c r="A46" s="83"/>
      <c r="B46" s="46"/>
      <c r="C46" s="46"/>
      <c r="D46" s="46"/>
      <c r="E46" s="109"/>
      <c r="F46" s="46"/>
      <c r="G46" s="110"/>
      <c r="H46" s="111"/>
      <c r="I46" s="112"/>
      <c r="J46" s="113"/>
      <c r="K46" s="114"/>
      <c r="L46" s="114"/>
      <c r="M46" s="115"/>
      <c r="N46" s="141"/>
      <c r="O46" s="142"/>
      <c r="P46" s="143"/>
      <c r="Q46" s="141"/>
      <c r="R46" s="142"/>
      <c r="S46" s="143"/>
      <c r="T46" s="141"/>
      <c r="U46" s="142"/>
      <c r="V46" s="143"/>
      <c r="W46" s="107"/>
    </row>
    <row r="47" spans="1:23" ht="18" customHeight="1" x14ac:dyDescent="0.45">
      <c r="A47" s="83"/>
      <c r="B47" s="84"/>
      <c r="C47" s="84"/>
      <c r="D47" s="84"/>
      <c r="E47" s="51"/>
      <c r="F47" s="84"/>
      <c r="G47" s="85"/>
      <c r="H47" s="86"/>
      <c r="I47" s="87"/>
      <c r="J47" s="88"/>
      <c r="K47" s="89"/>
      <c r="L47" s="89"/>
      <c r="M47" s="90"/>
      <c r="N47" s="138"/>
      <c r="O47" s="139"/>
      <c r="P47" s="140"/>
      <c r="Q47" s="138"/>
      <c r="R47" s="139"/>
      <c r="S47" s="140"/>
      <c r="T47" s="138"/>
      <c r="U47" s="139"/>
      <c r="V47" s="140"/>
      <c r="W47" s="107"/>
    </row>
    <row r="48" spans="1:23" ht="18" customHeight="1" x14ac:dyDescent="0.45">
      <c r="A48" s="83"/>
      <c r="B48" s="46"/>
      <c r="C48" s="46"/>
      <c r="D48" s="46"/>
      <c r="E48" s="109"/>
      <c r="F48" s="46"/>
      <c r="G48" s="110"/>
      <c r="H48" s="111"/>
      <c r="I48" s="112"/>
      <c r="J48" s="113"/>
      <c r="K48" s="114"/>
      <c r="L48" s="114"/>
      <c r="M48" s="115"/>
      <c r="N48" s="141"/>
      <c r="O48" s="142"/>
      <c r="P48" s="143"/>
      <c r="Q48" s="141"/>
      <c r="R48" s="142"/>
      <c r="S48" s="143"/>
      <c r="T48" s="141"/>
      <c r="U48" s="142"/>
      <c r="V48" s="143"/>
      <c r="W48" s="107"/>
    </row>
    <row r="49" spans="1:23" ht="18" customHeight="1" x14ac:dyDescent="0.45">
      <c r="A49" s="83"/>
      <c r="B49" s="84"/>
      <c r="C49" s="84"/>
      <c r="D49" s="84"/>
      <c r="E49" s="51"/>
      <c r="F49" s="84"/>
      <c r="G49" s="85"/>
      <c r="H49" s="86"/>
      <c r="I49" s="87"/>
      <c r="J49" s="88"/>
      <c r="K49" s="89"/>
      <c r="L49" s="89"/>
      <c r="M49" s="90"/>
      <c r="N49" s="138"/>
      <c r="O49" s="139"/>
      <c r="P49" s="140"/>
      <c r="Q49" s="138"/>
      <c r="R49" s="139"/>
      <c r="S49" s="140"/>
      <c r="T49" s="138"/>
      <c r="U49" s="139"/>
      <c r="V49" s="140"/>
      <c r="W49" s="107"/>
    </row>
    <row r="50" spans="1:23" ht="18" customHeight="1" x14ac:dyDescent="0.45">
      <c r="A50" s="83"/>
      <c r="B50" s="46"/>
      <c r="C50" s="46"/>
      <c r="D50" s="46"/>
      <c r="E50" s="109"/>
      <c r="F50" s="46"/>
      <c r="G50" s="110"/>
      <c r="H50" s="111"/>
      <c r="I50" s="112"/>
      <c r="J50" s="113"/>
      <c r="K50" s="114"/>
      <c r="L50" s="114"/>
      <c r="M50" s="115"/>
      <c r="N50" s="141"/>
      <c r="O50" s="142"/>
      <c r="P50" s="143"/>
      <c r="Q50" s="141"/>
      <c r="R50" s="142"/>
      <c r="S50" s="143"/>
      <c r="T50" s="141"/>
      <c r="U50" s="142"/>
      <c r="V50" s="143"/>
      <c r="W50" s="107"/>
    </row>
    <row r="51" spans="1:23" ht="18" customHeight="1" x14ac:dyDescent="0.45">
      <c r="A51" s="83"/>
      <c r="B51" s="84"/>
      <c r="C51" s="84"/>
      <c r="D51" s="84"/>
      <c r="E51" s="51"/>
      <c r="F51" s="84"/>
      <c r="G51" s="85"/>
      <c r="H51" s="86"/>
      <c r="I51" s="87"/>
      <c r="J51" s="88"/>
      <c r="K51" s="89"/>
      <c r="L51" s="89"/>
      <c r="M51" s="90"/>
      <c r="N51" s="138"/>
      <c r="O51" s="139"/>
      <c r="P51" s="140"/>
      <c r="Q51" s="138"/>
      <c r="R51" s="139"/>
      <c r="S51" s="140"/>
      <c r="T51" s="138"/>
      <c r="U51" s="139"/>
      <c r="V51" s="140"/>
      <c r="W51" s="107"/>
    </row>
    <row r="52" spans="1:23" ht="18" customHeight="1" x14ac:dyDescent="0.45">
      <c r="A52" s="83"/>
      <c r="B52" s="46"/>
      <c r="C52" s="46"/>
      <c r="D52" s="46"/>
      <c r="E52" s="109"/>
      <c r="F52" s="46"/>
      <c r="G52" s="110"/>
      <c r="H52" s="111"/>
      <c r="I52" s="112"/>
      <c r="J52" s="113"/>
      <c r="K52" s="114"/>
      <c r="L52" s="114"/>
      <c r="M52" s="115"/>
      <c r="N52" s="141"/>
      <c r="O52" s="142"/>
      <c r="P52" s="143"/>
      <c r="Q52" s="141"/>
      <c r="R52" s="142"/>
      <c r="S52" s="143"/>
      <c r="T52" s="141"/>
      <c r="U52" s="142"/>
      <c r="V52" s="143"/>
      <c r="W52" s="107"/>
    </row>
    <row r="53" spans="1:23" ht="18" customHeight="1" x14ac:dyDescent="0.45">
      <c r="A53" s="83"/>
      <c r="B53" s="84"/>
      <c r="C53" s="84"/>
      <c r="D53" s="84"/>
      <c r="E53" s="51"/>
      <c r="F53" s="84"/>
      <c r="G53" s="85"/>
      <c r="H53" s="86"/>
      <c r="I53" s="87"/>
      <c r="J53" s="88"/>
      <c r="K53" s="89"/>
      <c r="L53" s="89"/>
      <c r="M53" s="90"/>
      <c r="N53" s="138"/>
      <c r="O53" s="139"/>
      <c r="P53" s="140"/>
      <c r="Q53" s="138"/>
      <c r="R53" s="139"/>
      <c r="S53" s="140"/>
      <c r="T53" s="138"/>
      <c r="U53" s="139"/>
      <c r="V53" s="140"/>
      <c r="W53" s="107"/>
    </row>
    <row r="54" spans="1:23" ht="18" customHeight="1" x14ac:dyDescent="0.45">
      <c r="A54" s="83"/>
      <c r="B54" s="46"/>
      <c r="C54" s="46"/>
      <c r="D54" s="46"/>
      <c r="E54" s="109"/>
      <c r="F54" s="46"/>
      <c r="G54" s="110"/>
      <c r="H54" s="111"/>
      <c r="I54" s="112"/>
      <c r="J54" s="113"/>
      <c r="K54" s="114"/>
      <c r="L54" s="114"/>
      <c r="M54" s="115"/>
      <c r="N54" s="141"/>
      <c r="O54" s="142"/>
      <c r="P54" s="143"/>
      <c r="Q54" s="141"/>
      <c r="R54" s="142"/>
      <c r="S54" s="143"/>
      <c r="T54" s="141"/>
      <c r="U54" s="142"/>
      <c r="V54" s="143"/>
      <c r="W54" s="107"/>
    </row>
    <row r="55" spans="1:23" ht="18" customHeight="1" x14ac:dyDescent="0.45">
      <c r="A55" s="83"/>
      <c r="B55" s="84"/>
      <c r="C55" s="84"/>
      <c r="D55" s="84"/>
      <c r="E55" s="51"/>
      <c r="F55" s="84"/>
      <c r="G55" s="85"/>
      <c r="H55" s="86"/>
      <c r="I55" s="87"/>
      <c r="J55" s="88"/>
      <c r="K55" s="89"/>
      <c r="L55" s="89"/>
      <c r="M55" s="90"/>
      <c r="N55" s="138"/>
      <c r="O55" s="139"/>
      <c r="P55" s="140"/>
      <c r="Q55" s="138"/>
      <c r="R55" s="139"/>
      <c r="S55" s="140"/>
      <c r="T55" s="138"/>
      <c r="U55" s="139"/>
      <c r="V55" s="140"/>
      <c r="W55" s="107"/>
    </row>
    <row r="56" spans="1:23" ht="18" customHeight="1" x14ac:dyDescent="0.45">
      <c r="A56" s="83"/>
      <c r="B56" s="46"/>
      <c r="C56" s="46"/>
      <c r="D56" s="46"/>
      <c r="E56" s="109"/>
      <c r="F56" s="46"/>
      <c r="G56" s="110"/>
      <c r="H56" s="111"/>
      <c r="I56" s="112"/>
      <c r="J56" s="113"/>
      <c r="K56" s="114"/>
      <c r="L56" s="114"/>
      <c r="M56" s="115"/>
      <c r="N56" s="141"/>
      <c r="O56" s="142"/>
      <c r="P56" s="143"/>
      <c r="Q56" s="141"/>
      <c r="R56" s="142"/>
      <c r="S56" s="143"/>
      <c r="T56" s="141"/>
      <c r="U56" s="142"/>
      <c r="V56" s="143"/>
      <c r="W56" s="107"/>
    </row>
    <row r="57" spans="1:23" ht="18" customHeight="1" x14ac:dyDescent="0.45">
      <c r="A57" s="83"/>
      <c r="B57" s="84"/>
      <c r="C57" s="84"/>
      <c r="D57" s="84"/>
      <c r="E57" s="51"/>
      <c r="F57" s="84"/>
      <c r="G57" s="85"/>
      <c r="H57" s="86"/>
      <c r="I57" s="87"/>
      <c r="J57" s="88"/>
      <c r="K57" s="89"/>
      <c r="L57" s="89"/>
      <c r="M57" s="90"/>
      <c r="N57" s="138"/>
      <c r="O57" s="139"/>
      <c r="P57" s="140"/>
      <c r="Q57" s="138"/>
      <c r="R57" s="139"/>
      <c r="S57" s="140"/>
      <c r="T57" s="138"/>
      <c r="U57" s="139"/>
      <c r="V57" s="140"/>
      <c r="W57" s="107"/>
    </row>
    <row r="58" spans="1:23" ht="18" customHeight="1" x14ac:dyDescent="0.45">
      <c r="A58" s="83"/>
      <c r="B58" s="46"/>
      <c r="C58" s="46"/>
      <c r="D58" s="46"/>
      <c r="E58" s="109"/>
      <c r="F58" s="46"/>
      <c r="G58" s="110"/>
      <c r="H58" s="111"/>
      <c r="I58" s="112"/>
      <c r="J58" s="113"/>
      <c r="K58" s="114"/>
      <c r="L58" s="114"/>
      <c r="M58" s="115"/>
      <c r="N58" s="141"/>
      <c r="O58" s="142"/>
      <c r="P58" s="143"/>
      <c r="Q58" s="141"/>
      <c r="R58" s="142"/>
      <c r="S58" s="143"/>
      <c r="T58" s="141"/>
      <c r="U58" s="142"/>
      <c r="V58" s="143"/>
      <c r="W58" s="107"/>
    </row>
    <row r="59" spans="1:23" ht="18" customHeight="1" x14ac:dyDescent="0.45">
      <c r="A59" s="83"/>
      <c r="B59" s="84"/>
      <c r="C59" s="84"/>
      <c r="D59" s="84"/>
      <c r="E59" s="51"/>
      <c r="F59" s="84"/>
      <c r="G59" s="85"/>
      <c r="H59" s="86"/>
      <c r="I59" s="87"/>
      <c r="J59" s="88"/>
      <c r="K59" s="89"/>
      <c r="L59" s="89"/>
      <c r="M59" s="90"/>
      <c r="N59" s="138"/>
      <c r="O59" s="139"/>
      <c r="P59" s="140"/>
      <c r="Q59" s="138"/>
      <c r="R59" s="139"/>
      <c r="S59" s="140"/>
      <c r="T59" s="138"/>
      <c r="U59" s="139"/>
      <c r="V59" s="140"/>
      <c r="W59" s="107"/>
    </row>
    <row r="60" spans="1:23" ht="18" customHeight="1" x14ac:dyDescent="0.45">
      <c r="A60" s="83"/>
      <c r="B60" s="46"/>
      <c r="C60" s="46"/>
      <c r="D60" s="46"/>
      <c r="E60" s="109"/>
      <c r="F60" s="46"/>
      <c r="G60" s="110"/>
      <c r="H60" s="111"/>
      <c r="I60" s="112"/>
      <c r="J60" s="113"/>
      <c r="K60" s="114"/>
      <c r="L60" s="114"/>
      <c r="M60" s="115"/>
      <c r="N60" s="141"/>
      <c r="O60" s="142"/>
      <c r="P60" s="143"/>
      <c r="Q60" s="141"/>
      <c r="R60" s="142"/>
      <c r="S60" s="143"/>
      <c r="T60" s="141"/>
      <c r="U60" s="142"/>
      <c r="V60" s="143"/>
      <c r="W60" s="107"/>
    </row>
    <row r="61" spans="1:23" ht="18" customHeight="1" x14ac:dyDescent="0.45">
      <c r="A61" s="83"/>
      <c r="B61" s="84"/>
      <c r="C61" s="84"/>
      <c r="D61" s="84"/>
      <c r="E61" s="51"/>
      <c r="F61" s="84"/>
      <c r="G61" s="85"/>
      <c r="H61" s="86"/>
      <c r="I61" s="87"/>
      <c r="J61" s="88"/>
      <c r="K61" s="89"/>
      <c r="L61" s="89"/>
      <c r="M61" s="90"/>
      <c r="N61" s="138"/>
      <c r="O61" s="139"/>
      <c r="P61" s="140"/>
      <c r="Q61" s="141"/>
      <c r="R61" s="139"/>
      <c r="S61" s="140"/>
      <c r="T61" s="138"/>
      <c r="U61" s="139"/>
      <c r="V61" s="140"/>
      <c r="W61" s="107"/>
    </row>
    <row r="62" spans="1:23" ht="18" customHeight="1" x14ac:dyDescent="0.45">
      <c r="A62" s="83"/>
      <c r="B62" s="46"/>
      <c r="C62" s="46"/>
      <c r="D62" s="46"/>
      <c r="E62" s="109"/>
      <c r="F62" s="46"/>
      <c r="G62" s="110"/>
      <c r="H62" s="111"/>
      <c r="I62" s="112"/>
      <c r="J62" s="113"/>
      <c r="K62" s="114"/>
      <c r="L62" s="114"/>
      <c r="M62" s="115"/>
      <c r="N62" s="138"/>
      <c r="O62" s="142"/>
      <c r="P62" s="143"/>
      <c r="Q62" s="141"/>
      <c r="R62" s="142"/>
      <c r="S62" s="143"/>
      <c r="T62" s="141"/>
      <c r="U62" s="142"/>
      <c r="V62" s="143"/>
      <c r="W62" s="107"/>
    </row>
    <row r="63" spans="1:23" ht="18" customHeight="1" x14ac:dyDescent="0.45">
      <c r="A63" s="83"/>
      <c r="B63" s="84"/>
      <c r="C63" s="84"/>
      <c r="D63" s="84"/>
      <c r="E63" s="51"/>
      <c r="F63" s="84"/>
      <c r="G63" s="85"/>
      <c r="H63" s="86"/>
      <c r="I63" s="87"/>
      <c r="J63" s="88"/>
      <c r="K63" s="89"/>
      <c r="L63" s="89"/>
      <c r="M63" s="90"/>
      <c r="N63" s="138"/>
      <c r="O63" s="139"/>
      <c r="P63" s="140"/>
      <c r="Q63" s="141"/>
      <c r="R63" s="139"/>
      <c r="S63" s="140"/>
      <c r="T63" s="138"/>
      <c r="U63" s="139"/>
      <c r="V63" s="140"/>
      <c r="W63" s="107"/>
    </row>
    <row r="64" spans="1:23" ht="18" customHeight="1" x14ac:dyDescent="0.45">
      <c r="A64" s="83"/>
      <c r="B64" s="46"/>
      <c r="C64" s="46"/>
      <c r="D64" s="46"/>
      <c r="E64" s="109"/>
      <c r="F64" s="46"/>
      <c r="G64" s="110"/>
      <c r="H64" s="111"/>
      <c r="I64" s="112"/>
      <c r="J64" s="113"/>
      <c r="K64" s="114"/>
      <c r="L64" s="114"/>
      <c r="M64" s="115"/>
      <c r="N64" s="141"/>
      <c r="O64" s="142"/>
      <c r="P64" s="143"/>
      <c r="Q64" s="141"/>
      <c r="R64" s="142"/>
      <c r="S64" s="143"/>
      <c r="T64" s="141"/>
      <c r="U64" s="142"/>
      <c r="V64" s="143"/>
      <c r="W64" s="107"/>
    </row>
    <row r="65" spans="1:23" ht="18" customHeight="1" x14ac:dyDescent="0.45">
      <c r="A65" s="83"/>
      <c r="B65" s="84"/>
      <c r="C65" s="84"/>
      <c r="D65" s="84"/>
      <c r="E65" s="51"/>
      <c r="F65" s="84"/>
      <c r="G65" s="85"/>
      <c r="H65" s="86"/>
      <c r="I65" s="87"/>
      <c r="J65" s="88"/>
      <c r="K65" s="89"/>
      <c r="L65" s="89"/>
      <c r="M65" s="90"/>
      <c r="N65" s="138"/>
      <c r="O65" s="139"/>
      <c r="P65" s="140"/>
      <c r="Q65" s="138"/>
      <c r="R65" s="139"/>
      <c r="S65" s="140"/>
      <c r="T65" s="138"/>
      <c r="U65" s="139"/>
      <c r="V65" s="140"/>
      <c r="W65" s="107"/>
    </row>
    <row r="66" spans="1:23" ht="18" customHeight="1" x14ac:dyDescent="0.45">
      <c r="A66" s="83"/>
      <c r="B66" s="46"/>
      <c r="C66" s="46"/>
      <c r="D66" s="46"/>
      <c r="E66" s="109"/>
      <c r="F66" s="46"/>
      <c r="G66" s="110"/>
      <c r="H66" s="111"/>
      <c r="I66" s="112"/>
      <c r="J66" s="113"/>
      <c r="K66" s="114"/>
      <c r="L66" s="114"/>
      <c r="M66" s="115"/>
      <c r="N66" s="141"/>
      <c r="O66" s="142"/>
      <c r="P66" s="143"/>
      <c r="Q66" s="141"/>
      <c r="R66" s="142"/>
      <c r="S66" s="143"/>
      <c r="T66" s="141"/>
      <c r="U66" s="142"/>
      <c r="V66" s="143"/>
      <c r="W66" s="107"/>
    </row>
    <row r="67" spans="1:23" ht="18" customHeight="1" x14ac:dyDescent="0.45">
      <c r="A67" s="83"/>
      <c r="B67" s="84"/>
      <c r="C67" s="84"/>
      <c r="D67" s="84"/>
      <c r="E67" s="51"/>
      <c r="F67" s="84"/>
      <c r="G67" s="85"/>
      <c r="H67" s="86"/>
      <c r="I67" s="87"/>
      <c r="J67" s="88"/>
      <c r="K67" s="89"/>
      <c r="L67" s="89"/>
      <c r="M67" s="90"/>
      <c r="N67" s="138"/>
      <c r="O67" s="139"/>
      <c r="P67" s="140"/>
      <c r="Q67" s="138"/>
      <c r="R67" s="139"/>
      <c r="S67" s="140"/>
      <c r="T67" s="138"/>
      <c r="U67" s="139"/>
      <c r="V67" s="140"/>
      <c r="W67" s="107"/>
    </row>
    <row r="68" spans="1:23" ht="18" customHeight="1" x14ac:dyDescent="0.45">
      <c r="A68" s="83"/>
      <c r="B68" s="46"/>
      <c r="C68" s="46"/>
      <c r="D68" s="46"/>
      <c r="E68" s="109"/>
      <c r="F68" s="46"/>
      <c r="G68" s="110"/>
      <c r="H68" s="111"/>
      <c r="I68" s="112"/>
      <c r="J68" s="113"/>
      <c r="K68" s="114"/>
      <c r="L68" s="114"/>
      <c r="M68" s="115"/>
      <c r="N68" s="141"/>
      <c r="O68" s="142"/>
      <c r="P68" s="143"/>
      <c r="Q68" s="141"/>
      <c r="R68" s="142"/>
      <c r="S68" s="143"/>
      <c r="T68" s="141"/>
      <c r="U68" s="142"/>
      <c r="V68" s="143"/>
      <c r="W68" s="107"/>
    </row>
    <row r="69" spans="1:23" ht="18" customHeight="1" x14ac:dyDescent="0.45">
      <c r="A69" s="83"/>
      <c r="B69" s="84"/>
      <c r="C69" s="84"/>
      <c r="D69" s="84"/>
      <c r="E69" s="51"/>
      <c r="F69" s="84"/>
      <c r="G69" s="85"/>
      <c r="H69" s="86"/>
      <c r="I69" s="87"/>
      <c r="J69" s="88"/>
      <c r="K69" s="89"/>
      <c r="L69" s="89"/>
      <c r="M69" s="90"/>
      <c r="N69" s="138"/>
      <c r="O69" s="139"/>
      <c r="P69" s="140"/>
      <c r="Q69" s="138"/>
      <c r="R69" s="139"/>
      <c r="S69" s="140"/>
      <c r="T69" s="138"/>
      <c r="U69" s="139"/>
      <c r="V69" s="140"/>
      <c r="W69" s="107"/>
    </row>
    <row r="70" spans="1:23" ht="18" customHeight="1" x14ac:dyDescent="0.45">
      <c r="A70" s="83"/>
      <c r="B70" s="46"/>
      <c r="C70" s="46"/>
      <c r="D70" s="46"/>
      <c r="E70" s="109"/>
      <c r="F70" s="46"/>
      <c r="G70" s="110"/>
      <c r="H70" s="111"/>
      <c r="I70" s="112"/>
      <c r="J70" s="113"/>
      <c r="K70" s="114"/>
      <c r="L70" s="114"/>
      <c r="M70" s="115"/>
      <c r="N70" s="141"/>
      <c r="O70" s="142"/>
      <c r="P70" s="143"/>
      <c r="Q70" s="141"/>
      <c r="R70" s="142"/>
      <c r="S70" s="143"/>
      <c r="T70" s="141"/>
      <c r="U70" s="142"/>
      <c r="V70" s="143"/>
      <c r="W70" s="107"/>
    </row>
    <row r="71" spans="1:23" ht="18" customHeight="1" x14ac:dyDescent="0.45">
      <c r="A71" s="83"/>
      <c r="B71" s="84"/>
      <c r="C71" s="84"/>
      <c r="D71" s="84"/>
      <c r="E71" s="51"/>
      <c r="F71" s="84"/>
      <c r="G71" s="85"/>
      <c r="H71" s="86"/>
      <c r="I71" s="87"/>
      <c r="J71" s="88"/>
      <c r="K71" s="89"/>
      <c r="L71" s="89"/>
      <c r="M71" s="90"/>
      <c r="N71" s="138"/>
      <c r="O71" s="139"/>
      <c r="P71" s="140"/>
      <c r="Q71" s="138"/>
      <c r="R71" s="139"/>
      <c r="S71" s="140"/>
      <c r="T71" s="138"/>
      <c r="U71" s="139"/>
      <c r="V71" s="140"/>
      <c r="W71" s="107"/>
    </row>
    <row r="72" spans="1:23" ht="18" customHeight="1" x14ac:dyDescent="0.45">
      <c r="A72" s="83"/>
      <c r="B72" s="46"/>
      <c r="C72" s="46"/>
      <c r="D72" s="46"/>
      <c r="E72" s="109"/>
      <c r="F72" s="46"/>
      <c r="G72" s="110"/>
      <c r="H72" s="111"/>
      <c r="I72" s="112"/>
      <c r="J72" s="113"/>
      <c r="K72" s="114"/>
      <c r="L72" s="114"/>
      <c r="M72" s="115"/>
      <c r="N72" s="141"/>
      <c r="O72" s="142"/>
      <c r="P72" s="143"/>
      <c r="Q72" s="141"/>
      <c r="R72" s="142"/>
      <c r="S72" s="143"/>
      <c r="T72" s="141"/>
      <c r="U72" s="142"/>
      <c r="V72" s="143"/>
      <c r="W72" s="107"/>
    </row>
    <row r="73" spans="1:23" ht="18" customHeight="1" x14ac:dyDescent="0.45">
      <c r="A73" s="83"/>
      <c r="B73" s="84"/>
      <c r="C73" s="84"/>
      <c r="D73" s="84"/>
      <c r="E73" s="51"/>
      <c r="F73" s="84"/>
      <c r="G73" s="85"/>
      <c r="H73" s="86"/>
      <c r="I73" s="87"/>
      <c r="J73" s="88"/>
      <c r="K73" s="89"/>
      <c r="L73" s="89"/>
      <c r="M73" s="90"/>
      <c r="N73" s="138"/>
      <c r="O73" s="139"/>
      <c r="P73" s="140"/>
      <c r="Q73" s="138"/>
      <c r="R73" s="139"/>
      <c r="S73" s="140"/>
      <c r="T73" s="138"/>
      <c r="U73" s="139"/>
      <c r="V73" s="140"/>
      <c r="W73" s="107"/>
    </row>
    <row r="74" spans="1:23" ht="18" customHeight="1" x14ac:dyDescent="0.45">
      <c r="A74" s="83"/>
      <c r="B74" s="46"/>
      <c r="C74" s="46"/>
      <c r="D74" s="46"/>
      <c r="E74" s="109"/>
      <c r="F74" s="46"/>
      <c r="G74" s="110"/>
      <c r="H74" s="111"/>
      <c r="I74" s="112"/>
      <c r="J74" s="113"/>
      <c r="K74" s="114"/>
      <c r="L74" s="114"/>
      <c r="M74" s="115"/>
      <c r="N74" s="141"/>
      <c r="O74" s="142"/>
      <c r="P74" s="143"/>
      <c r="Q74" s="141"/>
      <c r="R74" s="142"/>
      <c r="S74" s="143"/>
      <c r="T74" s="141"/>
      <c r="U74" s="142"/>
      <c r="V74" s="143"/>
      <c r="W74" s="107"/>
    </row>
    <row r="75" spans="1:23" ht="18" customHeight="1" x14ac:dyDescent="0.45">
      <c r="A75" s="83"/>
      <c r="B75" s="84"/>
      <c r="C75" s="84"/>
      <c r="D75" s="84"/>
      <c r="E75" s="51"/>
      <c r="F75" s="84"/>
      <c r="G75" s="85"/>
      <c r="H75" s="86"/>
      <c r="I75" s="87"/>
      <c r="J75" s="88"/>
      <c r="K75" s="89"/>
      <c r="L75" s="89"/>
      <c r="M75" s="90"/>
      <c r="N75" s="138"/>
      <c r="O75" s="139"/>
      <c r="P75" s="140"/>
      <c r="Q75" s="138"/>
      <c r="R75" s="139"/>
      <c r="S75" s="140"/>
      <c r="T75" s="138"/>
      <c r="U75" s="139"/>
      <c r="V75" s="140"/>
      <c r="W75" s="107"/>
    </row>
    <row r="76" spans="1:23" ht="18" customHeight="1" x14ac:dyDescent="0.45">
      <c r="A76" s="83"/>
      <c r="B76" s="46"/>
      <c r="C76" s="46"/>
      <c r="D76" s="46"/>
      <c r="E76" s="109"/>
      <c r="F76" s="46"/>
      <c r="G76" s="110"/>
      <c r="H76" s="111"/>
      <c r="I76" s="112"/>
      <c r="J76" s="113"/>
      <c r="K76" s="114"/>
      <c r="L76" s="114"/>
      <c r="M76" s="115"/>
      <c r="N76" s="141"/>
      <c r="O76" s="142"/>
      <c r="P76" s="143"/>
      <c r="Q76" s="141"/>
      <c r="R76" s="142"/>
      <c r="S76" s="143"/>
      <c r="T76" s="141"/>
      <c r="U76" s="142"/>
      <c r="V76" s="143"/>
      <c r="W76" s="107"/>
    </row>
    <row r="77" spans="1:23" ht="18" customHeight="1" x14ac:dyDescent="0.45">
      <c r="A77" s="83"/>
      <c r="B77" s="84"/>
      <c r="C77" s="84"/>
      <c r="D77" s="84"/>
      <c r="E77" s="51"/>
      <c r="F77" s="84"/>
      <c r="G77" s="85"/>
      <c r="H77" s="86"/>
      <c r="I77" s="87"/>
      <c r="J77" s="88"/>
      <c r="K77" s="89"/>
      <c r="L77" s="89"/>
      <c r="M77" s="90"/>
      <c r="N77" s="138"/>
      <c r="O77" s="139"/>
      <c r="P77" s="140"/>
      <c r="Q77" s="138"/>
      <c r="R77" s="139"/>
      <c r="S77" s="140"/>
      <c r="T77" s="138"/>
      <c r="U77" s="139"/>
      <c r="V77" s="140"/>
      <c r="W77" s="107"/>
    </row>
    <row r="78" spans="1:23" ht="18" customHeight="1" x14ac:dyDescent="0.45">
      <c r="A78" s="83"/>
      <c r="B78" s="46"/>
      <c r="C78" s="46"/>
      <c r="D78" s="46"/>
      <c r="E78" s="109"/>
      <c r="F78" s="46"/>
      <c r="G78" s="110"/>
      <c r="H78" s="111"/>
      <c r="I78" s="112"/>
      <c r="J78" s="113"/>
      <c r="K78" s="114"/>
      <c r="L78" s="114"/>
      <c r="M78" s="115"/>
      <c r="N78" s="141"/>
      <c r="O78" s="142"/>
      <c r="P78" s="143"/>
      <c r="Q78" s="141"/>
      <c r="R78" s="142"/>
      <c r="S78" s="143"/>
      <c r="T78" s="141"/>
      <c r="U78" s="142"/>
      <c r="V78" s="143"/>
      <c r="W78" s="107"/>
    </row>
    <row r="79" spans="1:23" ht="18" customHeight="1" x14ac:dyDescent="0.45">
      <c r="A79" s="83"/>
      <c r="B79" s="84"/>
      <c r="C79" s="84"/>
      <c r="D79" s="84"/>
      <c r="E79" s="51"/>
      <c r="F79" s="84"/>
      <c r="G79" s="85"/>
      <c r="H79" s="86"/>
      <c r="I79" s="87"/>
      <c r="J79" s="88"/>
      <c r="K79" s="89"/>
      <c r="L79" s="89"/>
      <c r="M79" s="90"/>
      <c r="N79" s="138"/>
      <c r="O79" s="139"/>
      <c r="P79" s="140"/>
      <c r="Q79" s="138"/>
      <c r="R79" s="139"/>
      <c r="S79" s="140"/>
      <c r="T79" s="138"/>
      <c r="U79" s="139"/>
      <c r="V79" s="140"/>
      <c r="W79" s="107"/>
    </row>
    <row r="80" spans="1:23" ht="18" customHeight="1" x14ac:dyDescent="0.45">
      <c r="A80" s="83"/>
      <c r="B80" s="46"/>
      <c r="C80" s="46"/>
      <c r="D80" s="46"/>
      <c r="E80" s="109"/>
      <c r="F80" s="46"/>
      <c r="G80" s="110"/>
      <c r="H80" s="111"/>
      <c r="I80" s="112"/>
      <c r="J80" s="113"/>
      <c r="K80" s="114"/>
      <c r="L80" s="114"/>
      <c r="M80" s="115"/>
      <c r="N80" s="141"/>
      <c r="O80" s="142"/>
      <c r="P80" s="143"/>
      <c r="Q80" s="141"/>
      <c r="R80" s="142"/>
      <c r="S80" s="143"/>
      <c r="T80" s="141"/>
      <c r="U80" s="142"/>
      <c r="V80" s="143"/>
      <c r="W80" s="107"/>
    </row>
    <row r="81" spans="1:23" ht="18" customHeight="1" x14ac:dyDescent="0.45">
      <c r="A81" s="83"/>
      <c r="B81" s="84"/>
      <c r="C81" s="84"/>
      <c r="D81" s="84"/>
      <c r="E81" s="51"/>
      <c r="F81" s="84"/>
      <c r="G81" s="85"/>
      <c r="H81" s="86"/>
      <c r="I81" s="87"/>
      <c r="J81" s="88"/>
      <c r="K81" s="89"/>
      <c r="L81" s="89"/>
      <c r="M81" s="90"/>
      <c r="N81" s="138"/>
      <c r="O81" s="139"/>
      <c r="P81" s="140"/>
      <c r="Q81" s="138"/>
      <c r="R81" s="139"/>
      <c r="S81" s="140"/>
      <c r="T81" s="138"/>
      <c r="U81" s="139"/>
      <c r="V81" s="140"/>
      <c r="W81" s="107"/>
    </row>
    <row r="82" spans="1:23" ht="18" customHeight="1" x14ac:dyDescent="0.45">
      <c r="A82" s="83"/>
      <c r="B82" s="46"/>
      <c r="C82" s="46"/>
      <c r="D82" s="46"/>
      <c r="E82" s="109"/>
      <c r="F82" s="46"/>
      <c r="G82" s="110"/>
      <c r="H82" s="111"/>
      <c r="I82" s="112"/>
      <c r="J82" s="113"/>
      <c r="K82" s="114"/>
      <c r="L82" s="114"/>
      <c r="M82" s="115"/>
      <c r="N82" s="138"/>
      <c r="O82" s="142"/>
      <c r="P82" s="143"/>
      <c r="Q82" s="141"/>
      <c r="R82" s="142"/>
      <c r="S82" s="143"/>
      <c r="T82" s="141"/>
      <c r="U82" s="142"/>
      <c r="V82" s="143"/>
      <c r="W82" s="107"/>
    </row>
    <row r="83" spans="1:23" ht="18" customHeight="1" x14ac:dyDescent="0.45">
      <c r="A83" s="83"/>
      <c r="B83" s="84"/>
      <c r="C83" s="84"/>
      <c r="D83" s="84"/>
      <c r="E83" s="51"/>
      <c r="F83" s="84"/>
      <c r="G83" s="85"/>
      <c r="H83" s="86"/>
      <c r="I83" s="87"/>
      <c r="J83" s="88"/>
      <c r="K83" s="89"/>
      <c r="L83" s="89"/>
      <c r="M83" s="90"/>
      <c r="N83" s="138"/>
      <c r="O83" s="139"/>
      <c r="P83" s="140"/>
      <c r="Q83" s="138"/>
      <c r="R83" s="139"/>
      <c r="S83" s="140"/>
      <c r="T83" s="138"/>
      <c r="U83" s="139"/>
      <c r="V83" s="140"/>
      <c r="W83" s="107"/>
    </row>
    <row r="84" spans="1:23" ht="18" customHeight="1" x14ac:dyDescent="0.45">
      <c r="A84" s="83"/>
      <c r="B84" s="46"/>
      <c r="C84" s="46"/>
      <c r="D84" s="46"/>
      <c r="E84" s="109"/>
      <c r="F84" s="46"/>
      <c r="G84" s="110"/>
      <c r="H84" s="111"/>
      <c r="I84" s="112"/>
      <c r="J84" s="113"/>
      <c r="K84" s="114"/>
      <c r="L84" s="114"/>
      <c r="M84" s="115"/>
      <c r="N84" s="141"/>
      <c r="O84" s="142"/>
      <c r="P84" s="143"/>
      <c r="Q84" s="141"/>
      <c r="R84" s="142"/>
      <c r="S84" s="143"/>
      <c r="T84" s="141"/>
      <c r="U84" s="142"/>
      <c r="V84" s="143"/>
      <c r="W84" s="107"/>
    </row>
    <row r="85" spans="1:23" ht="18" customHeight="1" x14ac:dyDescent="0.45">
      <c r="A85" s="83"/>
      <c r="B85" s="84"/>
      <c r="C85" s="84"/>
      <c r="D85" s="84"/>
      <c r="E85" s="51"/>
      <c r="F85" s="84"/>
      <c r="G85" s="85"/>
      <c r="H85" s="86"/>
      <c r="I85" s="87"/>
      <c r="J85" s="88"/>
      <c r="K85" s="89"/>
      <c r="L85" s="89"/>
      <c r="M85" s="90"/>
      <c r="N85" s="138"/>
      <c r="O85" s="139"/>
      <c r="P85" s="140"/>
      <c r="Q85" s="138"/>
      <c r="R85" s="139"/>
      <c r="S85" s="140"/>
      <c r="T85" s="138"/>
      <c r="U85" s="139"/>
      <c r="V85" s="140"/>
      <c r="W85" s="107"/>
    </row>
    <row r="86" spans="1:23" ht="18" customHeight="1" x14ac:dyDescent="0.45">
      <c r="A86" s="83"/>
      <c r="B86" s="46"/>
      <c r="C86" s="46"/>
      <c r="D86" s="46"/>
      <c r="E86" s="109"/>
      <c r="F86" s="46"/>
      <c r="G86" s="110"/>
      <c r="H86" s="111"/>
      <c r="I86" s="112"/>
      <c r="J86" s="113"/>
      <c r="K86" s="114"/>
      <c r="L86" s="114"/>
      <c r="M86" s="115"/>
      <c r="N86" s="141"/>
      <c r="O86" s="142"/>
      <c r="P86" s="143"/>
      <c r="Q86" s="141"/>
      <c r="R86" s="142"/>
      <c r="S86" s="143"/>
      <c r="T86" s="141"/>
      <c r="U86" s="142"/>
      <c r="V86" s="143"/>
      <c r="W86" s="107"/>
    </row>
    <row r="87" spans="1:23" ht="18" customHeight="1" x14ac:dyDescent="0.45">
      <c r="A87" s="83"/>
      <c r="B87" s="84"/>
      <c r="C87" s="84"/>
      <c r="D87" s="84"/>
      <c r="E87" s="51"/>
      <c r="F87" s="84"/>
      <c r="G87" s="85"/>
      <c r="H87" s="86"/>
      <c r="I87" s="87"/>
      <c r="J87" s="88"/>
      <c r="K87" s="89"/>
      <c r="L87" s="89"/>
      <c r="M87" s="90"/>
      <c r="N87" s="138"/>
      <c r="O87" s="139"/>
      <c r="P87" s="140"/>
      <c r="Q87" s="138"/>
      <c r="R87" s="139"/>
      <c r="S87" s="140"/>
      <c r="T87" s="138"/>
      <c r="U87" s="139"/>
      <c r="V87" s="140"/>
      <c r="W87" s="107"/>
    </row>
    <row r="88" spans="1:23" ht="18" customHeight="1" x14ac:dyDescent="0.45">
      <c r="A88" s="83"/>
      <c r="B88" s="46"/>
      <c r="C88" s="46"/>
      <c r="D88" s="46"/>
      <c r="E88" s="109"/>
      <c r="F88" s="46"/>
      <c r="G88" s="110"/>
      <c r="H88" s="111"/>
      <c r="I88" s="112"/>
      <c r="J88" s="113"/>
      <c r="K88" s="114"/>
      <c r="L88" s="114"/>
      <c r="M88" s="115"/>
      <c r="N88" s="141"/>
      <c r="O88" s="142"/>
      <c r="P88" s="143"/>
      <c r="Q88" s="141"/>
      <c r="R88" s="142"/>
      <c r="S88" s="143"/>
      <c r="T88" s="141"/>
      <c r="U88" s="142"/>
      <c r="V88" s="143"/>
      <c r="W88" s="107"/>
    </row>
    <row r="89" spans="1:23" ht="18" customHeight="1" x14ac:dyDescent="0.45">
      <c r="A89" s="83"/>
      <c r="B89" s="84"/>
      <c r="C89" s="84"/>
      <c r="D89" s="84"/>
      <c r="E89" s="51"/>
      <c r="F89" s="84"/>
      <c r="G89" s="85"/>
      <c r="H89" s="86"/>
      <c r="I89" s="87"/>
      <c r="J89" s="88"/>
      <c r="K89" s="89"/>
      <c r="L89" s="89"/>
      <c r="M89" s="90"/>
      <c r="N89" s="138"/>
      <c r="O89" s="139"/>
      <c r="P89" s="140"/>
      <c r="Q89" s="138"/>
      <c r="R89" s="139"/>
      <c r="S89" s="140"/>
      <c r="T89" s="138"/>
      <c r="U89" s="139"/>
      <c r="V89" s="140"/>
      <c r="W89" s="107"/>
    </row>
    <row r="90" spans="1:23" ht="18" customHeight="1" x14ac:dyDescent="0.45">
      <c r="A90" s="83"/>
      <c r="B90" s="46"/>
      <c r="C90" s="46"/>
      <c r="D90" s="46"/>
      <c r="E90" s="109"/>
      <c r="F90" s="46"/>
      <c r="G90" s="110"/>
      <c r="H90" s="111"/>
      <c r="I90" s="112"/>
      <c r="J90" s="113"/>
      <c r="K90" s="114"/>
      <c r="L90" s="114"/>
      <c r="M90" s="115"/>
      <c r="N90" s="141"/>
      <c r="O90" s="142"/>
      <c r="P90" s="143"/>
      <c r="Q90" s="141"/>
      <c r="R90" s="142"/>
      <c r="S90" s="143"/>
      <c r="T90" s="141"/>
      <c r="U90" s="142"/>
      <c r="V90" s="143"/>
      <c r="W90" s="107"/>
    </row>
    <row r="91" spans="1:23" ht="18" customHeight="1" x14ac:dyDescent="0.45">
      <c r="A91" s="83"/>
      <c r="B91" s="84"/>
      <c r="C91" s="84"/>
      <c r="D91" s="84"/>
      <c r="E91" s="51"/>
      <c r="F91" s="84"/>
      <c r="G91" s="85"/>
      <c r="H91" s="86"/>
      <c r="I91" s="87"/>
      <c r="J91" s="88"/>
      <c r="K91" s="89"/>
      <c r="L91" s="89"/>
      <c r="M91" s="90"/>
      <c r="N91" s="141"/>
      <c r="O91" s="139"/>
      <c r="P91" s="140"/>
      <c r="Q91" s="138"/>
      <c r="R91" s="139"/>
      <c r="S91" s="140"/>
      <c r="T91" s="138"/>
      <c r="U91" s="139"/>
      <c r="V91" s="140"/>
      <c r="W91" s="107"/>
    </row>
    <row r="92" spans="1:23" ht="18" customHeight="1" x14ac:dyDescent="0.45">
      <c r="A92" s="83"/>
      <c r="B92" s="46"/>
      <c r="C92" s="46"/>
      <c r="D92" s="46"/>
      <c r="E92" s="109"/>
      <c r="F92" s="46"/>
      <c r="G92" s="110"/>
      <c r="H92" s="111"/>
      <c r="I92" s="112"/>
      <c r="J92" s="113"/>
      <c r="K92" s="114"/>
      <c r="L92" s="114"/>
      <c r="M92" s="115"/>
      <c r="N92" s="141"/>
      <c r="O92" s="142"/>
      <c r="P92" s="143"/>
      <c r="Q92" s="141"/>
      <c r="R92" s="142"/>
      <c r="S92" s="143"/>
      <c r="T92" s="141"/>
      <c r="U92" s="142"/>
      <c r="V92" s="143"/>
      <c r="W92" s="107"/>
    </row>
    <row r="93" spans="1:23" ht="18" customHeight="1" x14ac:dyDescent="0.45">
      <c r="A93" s="83"/>
      <c r="B93" s="84"/>
      <c r="C93" s="84"/>
      <c r="D93" s="84"/>
      <c r="E93" s="51"/>
      <c r="F93" s="84"/>
      <c r="G93" s="85"/>
      <c r="H93" s="86"/>
      <c r="I93" s="87"/>
      <c r="J93" s="88"/>
      <c r="K93" s="89"/>
      <c r="L93" s="89"/>
      <c r="M93" s="90"/>
      <c r="N93" s="141"/>
      <c r="O93" s="139"/>
      <c r="P93" s="140"/>
      <c r="Q93" s="138"/>
      <c r="R93" s="139"/>
      <c r="S93" s="140"/>
      <c r="T93" s="138"/>
      <c r="U93" s="139"/>
      <c r="V93" s="140"/>
      <c r="W93" s="107"/>
    </row>
    <row r="94" spans="1:23" ht="18" customHeight="1" x14ac:dyDescent="0.45">
      <c r="A94" s="83"/>
      <c r="B94" s="46"/>
      <c r="C94" s="46"/>
      <c r="D94" s="46"/>
      <c r="E94" s="109"/>
      <c r="F94" s="46"/>
      <c r="G94" s="110"/>
      <c r="H94" s="111"/>
      <c r="I94" s="112"/>
      <c r="J94" s="113"/>
      <c r="K94" s="114"/>
      <c r="L94" s="114"/>
      <c r="M94" s="115"/>
      <c r="N94" s="141"/>
      <c r="O94" s="142"/>
      <c r="P94" s="143"/>
      <c r="Q94" s="141"/>
      <c r="R94" s="142"/>
      <c r="S94" s="143"/>
      <c r="T94" s="141"/>
      <c r="U94" s="142"/>
      <c r="V94" s="143"/>
      <c r="W94" s="107"/>
    </row>
    <row r="95" spans="1:23" ht="18" customHeight="1" x14ac:dyDescent="0.45">
      <c r="A95" s="83"/>
      <c r="B95" s="84"/>
      <c r="C95" s="84"/>
      <c r="D95" s="84"/>
      <c r="E95" s="51"/>
      <c r="F95" s="84"/>
      <c r="G95" s="85"/>
      <c r="H95" s="86"/>
      <c r="I95" s="87"/>
      <c r="J95" s="88"/>
      <c r="K95" s="89"/>
      <c r="L95" s="89"/>
      <c r="M95" s="90"/>
      <c r="N95" s="138"/>
      <c r="O95" s="139"/>
      <c r="P95" s="140"/>
      <c r="Q95" s="138"/>
      <c r="R95" s="139"/>
      <c r="S95" s="140"/>
      <c r="T95" s="138"/>
      <c r="U95" s="139"/>
      <c r="V95" s="140"/>
      <c r="W95" s="107"/>
    </row>
    <row r="96" spans="1:23" ht="18" customHeight="1" x14ac:dyDescent="0.45">
      <c r="A96" s="83"/>
      <c r="B96" s="46"/>
      <c r="C96" s="46"/>
      <c r="D96" s="46"/>
      <c r="E96" s="109"/>
      <c r="F96" s="46"/>
      <c r="G96" s="110"/>
      <c r="H96" s="111"/>
      <c r="I96" s="112"/>
      <c r="J96" s="113"/>
      <c r="K96" s="114"/>
      <c r="L96" s="114"/>
      <c r="M96" s="115"/>
      <c r="N96" s="141"/>
      <c r="O96" s="142"/>
      <c r="P96" s="143"/>
      <c r="Q96" s="141"/>
      <c r="R96" s="142"/>
      <c r="S96" s="143"/>
      <c r="T96" s="141"/>
      <c r="U96" s="142"/>
      <c r="V96" s="143"/>
      <c r="W96" s="107"/>
    </row>
    <row r="97" spans="1:23" ht="18" customHeight="1" x14ac:dyDescent="0.45">
      <c r="A97" s="83"/>
      <c r="B97" s="84"/>
      <c r="C97" s="84"/>
      <c r="D97" s="84"/>
      <c r="E97" s="51"/>
      <c r="F97" s="84"/>
      <c r="G97" s="85"/>
      <c r="H97" s="86"/>
      <c r="I97" s="87"/>
      <c r="J97" s="88"/>
      <c r="K97" s="89"/>
      <c r="L97" s="89"/>
      <c r="M97" s="90"/>
      <c r="N97" s="138"/>
      <c r="O97" s="139"/>
      <c r="P97" s="140"/>
      <c r="Q97" s="138"/>
      <c r="R97" s="139"/>
      <c r="S97" s="140"/>
      <c r="T97" s="138"/>
      <c r="U97" s="139"/>
      <c r="V97" s="140"/>
      <c r="W97" s="107"/>
    </row>
    <row r="98" spans="1:23" ht="18" customHeight="1" x14ac:dyDescent="0.45">
      <c r="A98" s="83"/>
      <c r="B98" s="46"/>
      <c r="C98" s="46"/>
      <c r="D98" s="46"/>
      <c r="E98" s="109"/>
      <c r="F98" s="46"/>
      <c r="G98" s="110"/>
      <c r="H98" s="111"/>
      <c r="I98" s="112"/>
      <c r="J98" s="113"/>
      <c r="K98" s="114"/>
      <c r="L98" s="114"/>
      <c r="M98" s="115"/>
      <c r="N98" s="141"/>
      <c r="O98" s="142"/>
      <c r="P98" s="143"/>
      <c r="Q98" s="141"/>
      <c r="R98" s="142"/>
      <c r="S98" s="143"/>
      <c r="T98" s="141"/>
      <c r="U98" s="142"/>
      <c r="V98" s="143"/>
      <c r="W98" s="107"/>
    </row>
    <row r="99" spans="1:23" ht="18" customHeight="1" x14ac:dyDescent="0.45">
      <c r="A99" s="83"/>
      <c r="B99" s="84"/>
      <c r="C99" s="84"/>
      <c r="D99" s="84"/>
      <c r="E99" s="51"/>
      <c r="F99" s="84"/>
      <c r="G99" s="85"/>
      <c r="H99" s="86"/>
      <c r="I99" s="87"/>
      <c r="J99" s="88"/>
      <c r="K99" s="89"/>
      <c r="L99" s="89"/>
      <c r="M99" s="90"/>
      <c r="N99" s="138"/>
      <c r="O99" s="139"/>
      <c r="P99" s="140"/>
      <c r="Q99" s="138"/>
      <c r="R99" s="139"/>
      <c r="S99" s="140"/>
      <c r="T99" s="138"/>
      <c r="U99" s="139"/>
      <c r="V99" s="140"/>
      <c r="W99" s="107"/>
    </row>
    <row r="100" spans="1:23" ht="18" customHeight="1" x14ac:dyDescent="0.45">
      <c r="A100" s="83"/>
      <c r="B100" s="46"/>
      <c r="C100" s="46"/>
      <c r="D100" s="46"/>
      <c r="E100" s="109"/>
      <c r="F100" s="46"/>
      <c r="G100" s="110"/>
      <c r="H100" s="111"/>
      <c r="I100" s="112"/>
      <c r="J100" s="113"/>
      <c r="K100" s="114"/>
      <c r="L100" s="114"/>
      <c r="M100" s="115"/>
      <c r="N100" s="141"/>
      <c r="O100" s="142"/>
      <c r="P100" s="143"/>
      <c r="Q100" s="141"/>
      <c r="R100" s="142"/>
      <c r="S100" s="143"/>
      <c r="T100" s="141"/>
      <c r="U100" s="142"/>
      <c r="V100" s="143"/>
      <c r="W100" s="107"/>
    </row>
    <row r="101" spans="1:23" ht="18" customHeight="1" x14ac:dyDescent="0.45">
      <c r="A101" s="83"/>
      <c r="B101" s="84"/>
      <c r="C101" s="84"/>
      <c r="D101" s="84"/>
      <c r="E101" s="51"/>
      <c r="F101" s="84"/>
      <c r="G101" s="85"/>
      <c r="H101" s="86"/>
      <c r="I101" s="87"/>
      <c r="J101" s="88"/>
      <c r="K101" s="89"/>
      <c r="L101" s="89"/>
      <c r="M101" s="90"/>
      <c r="N101" s="138"/>
      <c r="O101" s="139"/>
      <c r="P101" s="140"/>
      <c r="Q101" s="138"/>
      <c r="R101" s="139"/>
      <c r="S101" s="140"/>
      <c r="T101" s="138"/>
      <c r="U101" s="139"/>
      <c r="V101" s="140"/>
      <c r="W101" s="107"/>
    </row>
    <row r="102" spans="1:23" ht="18" customHeight="1" x14ac:dyDescent="0.45">
      <c r="A102" s="83"/>
      <c r="B102" s="46"/>
      <c r="C102" s="46"/>
      <c r="D102" s="46"/>
      <c r="E102" s="109"/>
      <c r="F102" s="46"/>
      <c r="G102" s="110"/>
      <c r="H102" s="111"/>
      <c r="I102" s="112"/>
      <c r="J102" s="113"/>
      <c r="K102" s="114"/>
      <c r="L102" s="114"/>
      <c r="M102" s="115"/>
      <c r="N102" s="141"/>
      <c r="O102" s="142"/>
      <c r="P102" s="143"/>
      <c r="Q102" s="141"/>
      <c r="R102" s="142"/>
      <c r="S102" s="143"/>
      <c r="T102" s="141"/>
      <c r="U102" s="142"/>
      <c r="V102" s="143"/>
      <c r="W102" s="107"/>
    </row>
    <row r="103" spans="1:23" ht="18" customHeight="1" x14ac:dyDescent="0.45">
      <c r="A103" s="83"/>
      <c r="B103" s="84"/>
      <c r="C103" s="84"/>
      <c r="D103" s="84"/>
      <c r="E103" s="51"/>
      <c r="F103" s="84"/>
      <c r="G103" s="85"/>
      <c r="H103" s="86"/>
      <c r="I103" s="87"/>
      <c r="J103" s="88"/>
      <c r="K103" s="89"/>
      <c r="L103" s="89"/>
      <c r="M103" s="90"/>
      <c r="N103" s="138"/>
      <c r="O103" s="139"/>
      <c r="P103" s="140"/>
      <c r="Q103" s="138"/>
      <c r="R103" s="139"/>
      <c r="S103" s="140"/>
      <c r="T103" s="138"/>
      <c r="U103" s="139"/>
      <c r="V103" s="140"/>
      <c r="W103" s="107"/>
    </row>
    <row r="104" spans="1:23" ht="18" customHeight="1" x14ac:dyDescent="0.45">
      <c r="A104" s="83"/>
      <c r="B104" s="46"/>
      <c r="C104" s="46"/>
      <c r="D104" s="46"/>
      <c r="E104" s="109"/>
      <c r="F104" s="46"/>
      <c r="G104" s="110"/>
      <c r="H104" s="111"/>
      <c r="I104" s="112"/>
      <c r="J104" s="113"/>
      <c r="K104" s="114"/>
      <c r="L104" s="114"/>
      <c r="M104" s="115"/>
      <c r="N104" s="141"/>
      <c r="O104" s="142"/>
      <c r="P104" s="143"/>
      <c r="Q104" s="141"/>
      <c r="R104" s="142"/>
      <c r="S104" s="143"/>
      <c r="T104" s="141"/>
      <c r="U104" s="142"/>
      <c r="V104" s="143"/>
      <c r="W104" s="107"/>
    </row>
    <row r="105" spans="1:23" ht="18" customHeight="1" x14ac:dyDescent="0.45">
      <c r="A105" s="83"/>
      <c r="B105" s="84"/>
      <c r="C105" s="84"/>
      <c r="D105" s="84"/>
      <c r="E105" s="51"/>
      <c r="F105" s="84"/>
      <c r="G105" s="85"/>
      <c r="H105" s="86"/>
      <c r="I105" s="87"/>
      <c r="J105" s="88"/>
      <c r="K105" s="89"/>
      <c r="L105" s="89"/>
      <c r="M105" s="90"/>
      <c r="N105" s="138"/>
      <c r="O105" s="139"/>
      <c r="P105" s="140"/>
      <c r="Q105" s="138"/>
      <c r="R105" s="139"/>
      <c r="S105" s="140"/>
      <c r="T105" s="138"/>
      <c r="U105" s="139"/>
      <c r="V105" s="140"/>
      <c r="W105" s="107"/>
    </row>
    <row r="106" spans="1:23" ht="18" customHeight="1" x14ac:dyDescent="0.45">
      <c r="A106" s="83"/>
      <c r="B106" s="46"/>
      <c r="C106" s="46"/>
      <c r="D106" s="46"/>
      <c r="E106" s="109"/>
      <c r="F106" s="46"/>
      <c r="G106" s="110"/>
      <c r="H106" s="111"/>
      <c r="I106" s="112"/>
      <c r="J106" s="113"/>
      <c r="K106" s="114"/>
      <c r="L106" s="114"/>
      <c r="M106" s="115"/>
      <c r="N106" s="141"/>
      <c r="O106" s="142"/>
      <c r="P106" s="143"/>
      <c r="Q106" s="141"/>
      <c r="R106" s="142"/>
      <c r="S106" s="143"/>
      <c r="T106" s="141"/>
      <c r="U106" s="142"/>
      <c r="V106" s="143"/>
      <c r="W106" s="107"/>
    </row>
    <row r="107" spans="1:23" ht="18" customHeight="1" x14ac:dyDescent="0.45">
      <c r="A107" s="83"/>
      <c r="B107" s="84"/>
      <c r="C107" s="84"/>
      <c r="D107" s="84"/>
      <c r="E107" s="51"/>
      <c r="F107" s="84"/>
      <c r="G107" s="85"/>
      <c r="H107" s="86"/>
      <c r="I107" s="87"/>
      <c r="J107" s="88"/>
      <c r="K107" s="89"/>
      <c r="L107" s="89"/>
      <c r="M107" s="90"/>
      <c r="N107" s="138"/>
      <c r="O107" s="139"/>
      <c r="P107" s="140"/>
      <c r="Q107" s="138"/>
      <c r="R107" s="139"/>
      <c r="S107" s="140"/>
      <c r="T107" s="138"/>
      <c r="U107" s="139"/>
      <c r="V107" s="140"/>
      <c r="W107" s="107"/>
    </row>
    <row r="108" spans="1:23" ht="18" customHeight="1" x14ac:dyDescent="0.45">
      <c r="A108" s="83"/>
      <c r="B108" s="46"/>
      <c r="C108" s="46"/>
      <c r="D108" s="46"/>
      <c r="E108" s="109"/>
      <c r="F108" s="46"/>
      <c r="G108" s="110"/>
      <c r="H108" s="111"/>
      <c r="I108" s="112"/>
      <c r="J108" s="113"/>
      <c r="K108" s="114"/>
      <c r="L108" s="114"/>
      <c r="M108" s="115"/>
      <c r="N108" s="141"/>
      <c r="O108" s="142"/>
      <c r="P108" s="143"/>
      <c r="Q108" s="141"/>
      <c r="R108" s="142"/>
      <c r="S108" s="143"/>
      <c r="T108" s="141"/>
      <c r="U108" s="142"/>
      <c r="V108" s="143"/>
      <c r="W108" s="107"/>
    </row>
    <row r="109" spans="1:23" ht="18" customHeight="1" x14ac:dyDescent="0.45">
      <c r="A109" s="83"/>
      <c r="B109" s="84"/>
      <c r="C109" s="84"/>
      <c r="D109" s="84"/>
      <c r="E109" s="51"/>
      <c r="F109" s="84"/>
      <c r="G109" s="85"/>
      <c r="H109" s="86"/>
      <c r="I109" s="87"/>
      <c r="J109" s="88"/>
      <c r="K109" s="89"/>
      <c r="L109" s="89"/>
      <c r="M109" s="90"/>
      <c r="N109" s="138"/>
      <c r="O109" s="139"/>
      <c r="P109" s="140"/>
      <c r="Q109" s="138"/>
      <c r="R109" s="139"/>
      <c r="S109" s="140"/>
      <c r="T109" s="138"/>
      <c r="U109" s="139"/>
      <c r="V109" s="140"/>
      <c r="W109" s="107"/>
    </row>
    <row r="110" spans="1:23" ht="18" customHeight="1" x14ac:dyDescent="0.45">
      <c r="A110" s="83"/>
      <c r="B110" s="46"/>
      <c r="C110" s="46"/>
      <c r="D110" s="46"/>
      <c r="E110" s="109"/>
      <c r="F110" s="46"/>
      <c r="G110" s="110"/>
      <c r="H110" s="111"/>
      <c r="I110" s="112"/>
      <c r="J110" s="113"/>
      <c r="K110" s="114"/>
      <c r="L110" s="114"/>
      <c r="M110" s="115"/>
      <c r="N110" s="138"/>
      <c r="O110" s="142"/>
      <c r="P110" s="143"/>
      <c r="Q110" s="141"/>
      <c r="R110" s="142"/>
      <c r="S110" s="143"/>
      <c r="T110" s="141"/>
      <c r="U110" s="142"/>
      <c r="V110" s="143"/>
      <c r="W110" s="107"/>
    </row>
    <row r="111" spans="1:23" ht="18" customHeight="1" x14ac:dyDescent="0.45">
      <c r="A111" s="83"/>
      <c r="B111" s="84"/>
      <c r="C111" s="84"/>
      <c r="D111" s="84"/>
      <c r="E111" s="51"/>
      <c r="F111" s="84"/>
      <c r="G111" s="85"/>
      <c r="H111" s="86"/>
      <c r="I111" s="87"/>
      <c r="J111" s="88"/>
      <c r="K111" s="89"/>
      <c r="L111" s="89"/>
      <c r="M111" s="90"/>
      <c r="N111" s="138"/>
      <c r="O111" s="139"/>
      <c r="P111" s="140"/>
      <c r="Q111" s="138"/>
      <c r="R111" s="139"/>
      <c r="S111" s="140"/>
      <c r="T111" s="138"/>
      <c r="U111" s="139"/>
      <c r="V111" s="140"/>
      <c r="W111" s="107"/>
    </row>
    <row r="112" spans="1:23" ht="18" customHeight="1" x14ac:dyDescent="0.45">
      <c r="A112" s="83"/>
      <c r="B112" s="46"/>
      <c r="C112" s="46"/>
      <c r="D112" s="46"/>
      <c r="E112" s="109"/>
      <c r="F112" s="46"/>
      <c r="G112" s="110"/>
      <c r="H112" s="111"/>
      <c r="I112" s="112"/>
      <c r="J112" s="113"/>
      <c r="K112" s="114"/>
      <c r="L112" s="114"/>
      <c r="M112" s="115"/>
      <c r="N112" s="141"/>
      <c r="O112" s="142"/>
      <c r="P112" s="143"/>
      <c r="Q112" s="141"/>
      <c r="R112" s="142"/>
      <c r="S112" s="143"/>
      <c r="T112" s="141"/>
      <c r="U112" s="142"/>
      <c r="V112" s="143"/>
      <c r="W112" s="107"/>
    </row>
    <row r="113" spans="1:23" ht="18" customHeight="1" x14ac:dyDescent="0.45">
      <c r="A113" s="83"/>
      <c r="B113" s="84"/>
      <c r="C113" s="84"/>
      <c r="D113" s="84"/>
      <c r="E113" s="51"/>
      <c r="F113" s="84"/>
      <c r="G113" s="85"/>
      <c r="H113" s="86"/>
      <c r="I113" s="87"/>
      <c r="J113" s="88"/>
      <c r="K113" s="89"/>
      <c r="L113" s="89"/>
      <c r="M113" s="90"/>
      <c r="N113" s="138"/>
      <c r="O113" s="139"/>
      <c r="P113" s="140"/>
      <c r="Q113" s="138"/>
      <c r="R113" s="139"/>
      <c r="S113" s="140"/>
      <c r="T113" s="138"/>
      <c r="U113" s="139"/>
      <c r="V113" s="140"/>
      <c r="W113" s="107"/>
    </row>
    <row r="114" spans="1:23" ht="18" customHeight="1" x14ac:dyDescent="0.45">
      <c r="A114" s="83"/>
      <c r="B114" s="46"/>
      <c r="C114" s="46"/>
      <c r="D114" s="46"/>
      <c r="E114" s="109"/>
      <c r="F114" s="46"/>
      <c r="G114" s="110"/>
      <c r="H114" s="111"/>
      <c r="I114" s="112"/>
      <c r="J114" s="113"/>
      <c r="K114" s="114"/>
      <c r="L114" s="114"/>
      <c r="M114" s="115"/>
      <c r="N114" s="141"/>
      <c r="O114" s="142"/>
      <c r="P114" s="143"/>
      <c r="Q114" s="141"/>
      <c r="R114" s="142"/>
      <c r="S114" s="143"/>
      <c r="T114" s="141"/>
      <c r="U114" s="142"/>
      <c r="V114" s="143"/>
      <c r="W114" s="107"/>
    </row>
    <row r="115" spans="1:23" ht="18" customHeight="1" x14ac:dyDescent="0.45">
      <c r="A115" s="83"/>
      <c r="B115" s="84"/>
      <c r="C115" s="84"/>
      <c r="D115" s="84"/>
      <c r="E115" s="51"/>
      <c r="F115" s="84"/>
      <c r="G115" s="85"/>
      <c r="H115" s="86"/>
      <c r="I115" s="87"/>
      <c r="J115" s="88"/>
      <c r="K115" s="89"/>
      <c r="L115" s="89"/>
      <c r="M115" s="90"/>
      <c r="N115" s="138"/>
      <c r="O115" s="139"/>
      <c r="P115" s="140"/>
      <c r="Q115" s="138"/>
      <c r="R115" s="139"/>
      <c r="S115" s="140"/>
      <c r="T115" s="138"/>
      <c r="U115" s="139"/>
      <c r="V115" s="140"/>
      <c r="W115" s="107"/>
    </row>
    <row r="116" spans="1:23" ht="18" customHeight="1" x14ac:dyDescent="0.45">
      <c r="A116" s="83"/>
      <c r="B116" s="46"/>
      <c r="C116" s="46"/>
      <c r="D116" s="46"/>
      <c r="E116" s="109"/>
      <c r="F116" s="46"/>
      <c r="G116" s="110"/>
      <c r="H116" s="111"/>
      <c r="I116" s="112"/>
      <c r="J116" s="113"/>
      <c r="K116" s="114"/>
      <c r="L116" s="114"/>
      <c r="M116" s="115"/>
      <c r="N116" s="141"/>
      <c r="O116" s="142"/>
      <c r="P116" s="143"/>
      <c r="Q116" s="141"/>
      <c r="R116" s="142"/>
      <c r="S116" s="143"/>
      <c r="T116" s="141"/>
      <c r="U116" s="142"/>
      <c r="V116" s="143"/>
      <c r="W116" s="107"/>
    </row>
    <row r="117" spans="1:23" ht="18" customHeight="1" x14ac:dyDescent="0.45">
      <c r="A117" s="83"/>
      <c r="B117" s="84"/>
      <c r="C117" s="84"/>
      <c r="D117" s="84"/>
      <c r="E117" s="51"/>
      <c r="F117" s="84"/>
      <c r="G117" s="85"/>
      <c r="H117" s="86"/>
      <c r="I117" s="87"/>
      <c r="J117" s="88"/>
      <c r="K117" s="89"/>
      <c r="L117" s="89"/>
      <c r="M117" s="90"/>
      <c r="N117" s="141"/>
      <c r="O117" s="139"/>
      <c r="P117" s="140"/>
      <c r="Q117" s="138"/>
      <c r="R117" s="139"/>
      <c r="S117" s="140"/>
      <c r="T117" s="138"/>
      <c r="U117" s="139"/>
      <c r="V117" s="140"/>
      <c r="W117" s="107"/>
    </row>
    <row r="118" spans="1:23" ht="18" customHeight="1" x14ac:dyDescent="0.45">
      <c r="A118" s="83"/>
      <c r="B118" s="46"/>
      <c r="C118" s="46"/>
      <c r="D118" s="46"/>
      <c r="E118" s="109"/>
      <c r="F118" s="46"/>
      <c r="G118" s="110"/>
      <c r="H118" s="111"/>
      <c r="I118" s="112"/>
      <c r="J118" s="113"/>
      <c r="K118" s="114"/>
      <c r="L118" s="114"/>
      <c r="M118" s="115"/>
      <c r="N118" s="141"/>
      <c r="O118" s="142"/>
      <c r="P118" s="143"/>
      <c r="Q118" s="141"/>
      <c r="R118" s="142"/>
      <c r="S118" s="143"/>
      <c r="T118" s="141"/>
      <c r="U118" s="142"/>
      <c r="V118" s="143"/>
      <c r="W118" s="107"/>
    </row>
    <row r="119" spans="1:23" ht="18" customHeight="1" x14ac:dyDescent="0.45">
      <c r="A119" s="83"/>
      <c r="B119" s="84"/>
      <c r="C119" s="84"/>
      <c r="D119" s="84"/>
      <c r="E119" s="51"/>
      <c r="F119" s="84"/>
      <c r="G119" s="85"/>
      <c r="H119" s="86"/>
      <c r="I119" s="87"/>
      <c r="J119" s="88"/>
      <c r="K119" s="89"/>
      <c r="L119" s="89"/>
      <c r="M119" s="90"/>
      <c r="N119" s="141"/>
      <c r="O119" s="139"/>
      <c r="P119" s="140"/>
      <c r="Q119" s="141"/>
      <c r="R119" s="139"/>
      <c r="S119" s="140"/>
      <c r="T119" s="138"/>
      <c r="U119" s="139"/>
      <c r="V119" s="140"/>
      <c r="W119" s="107"/>
    </row>
    <row r="120" spans="1:23" ht="18" customHeight="1" x14ac:dyDescent="0.45">
      <c r="A120" s="83"/>
      <c r="B120" s="46"/>
      <c r="C120" s="46"/>
      <c r="D120" s="46"/>
      <c r="E120" s="109"/>
      <c r="F120" s="46"/>
      <c r="G120" s="110"/>
      <c r="H120" s="111"/>
      <c r="I120" s="112"/>
      <c r="J120" s="113"/>
      <c r="K120" s="114"/>
      <c r="L120" s="114"/>
      <c r="M120" s="115"/>
      <c r="N120" s="141"/>
      <c r="O120" s="142"/>
      <c r="P120" s="143"/>
      <c r="Q120" s="141"/>
      <c r="R120" s="142"/>
      <c r="S120" s="143"/>
      <c r="T120" s="141"/>
      <c r="U120" s="142"/>
      <c r="V120" s="143"/>
      <c r="W120" s="107"/>
    </row>
    <row r="121" spans="1:23" ht="18" customHeight="1" x14ac:dyDescent="0.45">
      <c r="A121" s="83"/>
      <c r="B121" s="84"/>
      <c r="C121" s="84"/>
      <c r="D121" s="84"/>
      <c r="E121" s="51"/>
      <c r="F121" s="84"/>
      <c r="G121" s="85"/>
      <c r="H121" s="86"/>
      <c r="I121" s="87"/>
      <c r="J121" s="88"/>
      <c r="K121" s="89"/>
      <c r="L121" s="89"/>
      <c r="M121" s="90"/>
      <c r="N121" s="141"/>
      <c r="O121" s="139"/>
      <c r="P121" s="140"/>
      <c r="Q121" s="138"/>
      <c r="R121" s="139"/>
      <c r="S121" s="140"/>
      <c r="T121" s="138"/>
      <c r="U121" s="139"/>
      <c r="V121" s="140"/>
      <c r="W121" s="107"/>
    </row>
    <row r="122" spans="1:23" ht="18" customHeight="1" x14ac:dyDescent="0.45">
      <c r="A122" s="83"/>
      <c r="B122" s="46"/>
      <c r="C122" s="46"/>
      <c r="D122" s="46"/>
      <c r="E122" s="109"/>
      <c r="F122" s="46"/>
      <c r="G122" s="110"/>
      <c r="H122" s="111"/>
      <c r="I122" s="112"/>
      <c r="J122" s="113"/>
      <c r="K122" s="114"/>
      <c r="L122" s="114"/>
      <c r="M122" s="115"/>
      <c r="N122" s="141"/>
      <c r="O122" s="142"/>
      <c r="P122" s="143"/>
      <c r="Q122" s="141"/>
      <c r="R122" s="142"/>
      <c r="S122" s="143"/>
      <c r="T122" s="141"/>
      <c r="U122" s="142"/>
      <c r="V122" s="143"/>
      <c r="W122" s="107"/>
    </row>
    <row r="123" spans="1:23" ht="18" customHeight="1" x14ac:dyDescent="0.45">
      <c r="A123" s="83"/>
      <c r="B123" s="84"/>
      <c r="C123" s="84"/>
      <c r="D123" s="84"/>
      <c r="E123" s="51"/>
      <c r="F123" s="84"/>
      <c r="G123" s="85"/>
      <c r="H123" s="86"/>
      <c r="I123" s="87"/>
      <c r="J123" s="88"/>
      <c r="K123" s="89"/>
      <c r="L123" s="89"/>
      <c r="M123" s="90"/>
      <c r="N123" s="138"/>
      <c r="O123" s="139"/>
      <c r="P123" s="140"/>
      <c r="Q123" s="138"/>
      <c r="R123" s="139"/>
      <c r="S123" s="140"/>
      <c r="T123" s="138"/>
      <c r="U123" s="139"/>
      <c r="V123" s="140"/>
      <c r="W123" s="107"/>
    </row>
    <row r="124" spans="1:23" ht="18" customHeight="1" x14ac:dyDescent="0.45">
      <c r="A124" s="83"/>
      <c r="B124" s="46"/>
      <c r="C124" s="46"/>
      <c r="D124" s="46"/>
      <c r="E124" s="109"/>
      <c r="F124" s="46"/>
      <c r="G124" s="110"/>
      <c r="H124" s="111"/>
      <c r="I124" s="112"/>
      <c r="J124" s="113"/>
      <c r="K124" s="114"/>
      <c r="L124" s="114"/>
      <c r="M124" s="115"/>
      <c r="N124" s="141"/>
      <c r="O124" s="142"/>
      <c r="P124" s="143"/>
      <c r="Q124" s="141"/>
      <c r="R124" s="142"/>
      <c r="S124" s="143"/>
      <c r="T124" s="141"/>
      <c r="U124" s="142"/>
      <c r="V124" s="143"/>
      <c r="W124" s="107"/>
    </row>
    <row r="125" spans="1:23" ht="18" customHeight="1" x14ac:dyDescent="0.45">
      <c r="A125" s="83"/>
      <c r="B125" s="84"/>
      <c r="C125" s="84"/>
      <c r="D125" s="84"/>
      <c r="E125" s="51"/>
      <c r="F125" s="84"/>
      <c r="G125" s="85"/>
      <c r="H125" s="86"/>
      <c r="I125" s="87"/>
      <c r="J125" s="88"/>
      <c r="K125" s="89"/>
      <c r="L125" s="89"/>
      <c r="M125" s="90"/>
      <c r="N125" s="138"/>
      <c r="O125" s="139"/>
      <c r="P125" s="140"/>
      <c r="Q125" s="138"/>
      <c r="R125" s="139"/>
      <c r="S125" s="140"/>
      <c r="T125" s="138"/>
      <c r="U125" s="139"/>
      <c r="V125" s="140"/>
      <c r="W125" s="107"/>
    </row>
    <row r="126" spans="1:23" ht="18" customHeight="1" x14ac:dyDescent="0.45">
      <c r="A126" s="83"/>
      <c r="B126" s="46"/>
      <c r="C126" s="46"/>
      <c r="D126" s="46"/>
      <c r="E126" s="109"/>
      <c r="F126" s="46"/>
      <c r="G126" s="110"/>
      <c r="H126" s="111"/>
      <c r="I126" s="112"/>
      <c r="J126" s="113"/>
      <c r="K126" s="114"/>
      <c r="L126" s="114"/>
      <c r="M126" s="115"/>
      <c r="N126" s="141"/>
      <c r="O126" s="142"/>
      <c r="P126" s="143"/>
      <c r="Q126" s="141"/>
      <c r="R126" s="142"/>
      <c r="S126" s="143"/>
      <c r="T126" s="141"/>
      <c r="U126" s="142"/>
      <c r="V126" s="143"/>
      <c r="W126" s="107"/>
    </row>
    <row r="127" spans="1:23" ht="18" customHeight="1" x14ac:dyDescent="0.45">
      <c r="A127" s="83"/>
      <c r="B127" s="84"/>
      <c r="C127" s="84"/>
      <c r="D127" s="84"/>
      <c r="E127" s="51"/>
      <c r="F127" s="84"/>
      <c r="G127" s="85"/>
      <c r="H127" s="86"/>
      <c r="I127" s="87"/>
      <c r="J127" s="88"/>
      <c r="K127" s="89"/>
      <c r="L127" s="89"/>
      <c r="M127" s="90"/>
      <c r="N127" s="138"/>
      <c r="O127" s="139"/>
      <c r="P127" s="140"/>
      <c r="Q127" s="138"/>
      <c r="R127" s="139"/>
      <c r="S127" s="140"/>
      <c r="T127" s="138"/>
      <c r="U127" s="139"/>
      <c r="V127" s="140"/>
      <c r="W127" s="107"/>
    </row>
    <row r="128" spans="1:23" ht="18" customHeight="1" x14ac:dyDescent="0.45">
      <c r="A128" s="83"/>
      <c r="B128" s="46"/>
      <c r="C128" s="46"/>
      <c r="D128" s="46"/>
      <c r="E128" s="109"/>
      <c r="F128" s="46"/>
      <c r="G128" s="110"/>
      <c r="H128" s="111"/>
      <c r="I128" s="112"/>
      <c r="J128" s="113"/>
      <c r="K128" s="114"/>
      <c r="L128" s="114"/>
      <c r="M128" s="115"/>
      <c r="N128" s="138"/>
      <c r="O128" s="142"/>
      <c r="P128" s="143"/>
      <c r="Q128" s="141"/>
      <c r="R128" s="142"/>
      <c r="S128" s="143"/>
      <c r="T128" s="141"/>
      <c r="U128" s="142"/>
      <c r="V128" s="143"/>
      <c r="W128" s="107"/>
    </row>
    <row r="129" spans="1:23" ht="18" customHeight="1" x14ac:dyDescent="0.45">
      <c r="A129" s="83"/>
      <c r="B129" s="84"/>
      <c r="C129" s="84"/>
      <c r="D129" s="84"/>
      <c r="E129" s="51"/>
      <c r="F129" s="84"/>
      <c r="G129" s="85"/>
      <c r="H129" s="86"/>
      <c r="I129" s="87"/>
      <c r="J129" s="88"/>
      <c r="K129" s="89"/>
      <c r="L129" s="89"/>
      <c r="M129" s="90"/>
      <c r="N129" s="138"/>
      <c r="O129" s="139"/>
      <c r="P129" s="140"/>
      <c r="Q129" s="138"/>
      <c r="R129" s="139"/>
      <c r="S129" s="140"/>
      <c r="T129" s="138"/>
      <c r="U129" s="139"/>
      <c r="V129" s="140"/>
      <c r="W129" s="107"/>
    </row>
    <row r="130" spans="1:23" ht="18" customHeight="1" x14ac:dyDescent="0.45">
      <c r="A130" s="83"/>
      <c r="B130" s="46"/>
      <c r="C130" s="46"/>
      <c r="D130" s="46"/>
      <c r="E130" s="109"/>
      <c r="F130" s="46"/>
      <c r="G130" s="110"/>
      <c r="H130" s="111"/>
      <c r="I130" s="112"/>
      <c r="J130" s="113"/>
      <c r="K130" s="114"/>
      <c r="L130" s="114"/>
      <c r="M130" s="115"/>
      <c r="N130" s="138"/>
      <c r="O130" s="142"/>
      <c r="P130" s="143"/>
      <c r="Q130" s="141"/>
      <c r="R130" s="142"/>
      <c r="S130" s="143"/>
      <c r="T130" s="141"/>
      <c r="U130" s="142"/>
      <c r="V130" s="143"/>
      <c r="W130" s="107"/>
    </row>
    <row r="131" spans="1:23" ht="18" customHeight="1" x14ac:dyDescent="0.45">
      <c r="A131" s="83"/>
      <c r="B131" s="84"/>
      <c r="C131" s="84"/>
      <c r="D131" s="84"/>
      <c r="E131" s="51"/>
      <c r="F131" s="84"/>
      <c r="G131" s="85"/>
      <c r="H131" s="86"/>
      <c r="I131" s="87"/>
      <c r="J131" s="88"/>
      <c r="K131" s="89"/>
      <c r="L131" s="89"/>
      <c r="M131" s="90"/>
      <c r="N131" s="138"/>
      <c r="O131" s="139"/>
      <c r="P131" s="140"/>
      <c r="Q131" s="138"/>
      <c r="R131" s="139"/>
      <c r="S131" s="140"/>
      <c r="T131" s="138"/>
      <c r="U131" s="139"/>
      <c r="V131" s="140"/>
      <c r="W131" s="107"/>
    </row>
    <row r="132" spans="1:23" ht="18" customHeight="1" x14ac:dyDescent="0.45">
      <c r="A132" s="83"/>
      <c r="B132" s="46"/>
      <c r="C132" s="46"/>
      <c r="D132" s="46"/>
      <c r="E132" s="109"/>
      <c r="F132" s="46"/>
      <c r="G132" s="110"/>
      <c r="H132" s="111"/>
      <c r="I132" s="112"/>
      <c r="J132" s="113"/>
      <c r="K132" s="114"/>
      <c r="L132" s="114"/>
      <c r="M132" s="115"/>
      <c r="N132" s="141"/>
      <c r="O132" s="142"/>
      <c r="P132" s="143"/>
      <c r="Q132" s="141"/>
      <c r="R132" s="142"/>
      <c r="S132" s="143"/>
      <c r="T132" s="141"/>
      <c r="U132" s="142"/>
      <c r="V132" s="143"/>
      <c r="W132" s="107"/>
    </row>
    <row r="133" spans="1:23" ht="18" customHeight="1" x14ac:dyDescent="0.45">
      <c r="A133" s="83"/>
      <c r="B133" s="84"/>
      <c r="C133" s="84"/>
      <c r="D133" s="84"/>
      <c r="E133" s="51"/>
      <c r="F133" s="84"/>
      <c r="G133" s="85"/>
      <c r="H133" s="86"/>
      <c r="I133" s="87"/>
      <c r="J133" s="88"/>
      <c r="K133" s="89"/>
      <c r="L133" s="89"/>
      <c r="M133" s="90"/>
      <c r="N133" s="138"/>
      <c r="O133" s="139"/>
      <c r="P133" s="140"/>
      <c r="Q133" s="138"/>
      <c r="R133" s="139"/>
      <c r="S133" s="140"/>
      <c r="T133" s="138"/>
      <c r="U133" s="139"/>
      <c r="V133" s="140"/>
      <c r="W133" s="107"/>
    </row>
    <row r="134" spans="1:23" ht="18" customHeight="1" x14ac:dyDescent="0.45">
      <c r="A134" s="83"/>
      <c r="B134" s="46"/>
      <c r="C134" s="46"/>
      <c r="D134" s="46"/>
      <c r="E134" s="109"/>
      <c r="F134" s="46"/>
      <c r="G134" s="110"/>
      <c r="H134" s="111"/>
      <c r="I134" s="112"/>
      <c r="J134" s="113"/>
      <c r="K134" s="114"/>
      <c r="L134" s="114"/>
      <c r="M134" s="115"/>
      <c r="N134" s="141"/>
      <c r="O134" s="142"/>
      <c r="P134" s="143"/>
      <c r="Q134" s="141"/>
      <c r="R134" s="142"/>
      <c r="S134" s="143"/>
      <c r="T134" s="141"/>
      <c r="U134" s="142"/>
      <c r="V134" s="143"/>
      <c r="W134" s="107"/>
    </row>
    <row r="135" spans="1:23" ht="18" customHeight="1" x14ac:dyDescent="0.45">
      <c r="A135" s="83"/>
      <c r="B135" s="84"/>
      <c r="C135" s="84"/>
      <c r="D135" s="84"/>
      <c r="E135" s="51"/>
      <c r="F135" s="84"/>
      <c r="G135" s="85"/>
      <c r="H135" s="86"/>
      <c r="I135" s="87"/>
      <c r="J135" s="88"/>
      <c r="K135" s="89"/>
      <c r="L135" s="89"/>
      <c r="M135" s="90"/>
      <c r="N135" s="138"/>
      <c r="O135" s="139"/>
      <c r="P135" s="140"/>
      <c r="Q135" s="138"/>
      <c r="R135" s="139"/>
      <c r="S135" s="140"/>
      <c r="T135" s="138"/>
      <c r="U135" s="139"/>
      <c r="V135" s="140"/>
      <c r="W135" s="107"/>
    </row>
    <row r="136" spans="1:23" ht="18" customHeight="1" x14ac:dyDescent="0.45">
      <c r="A136" s="83"/>
      <c r="B136" s="46"/>
      <c r="C136" s="46"/>
      <c r="D136" s="46"/>
      <c r="E136" s="109"/>
      <c r="F136" s="46"/>
      <c r="G136" s="110"/>
      <c r="H136" s="111"/>
      <c r="I136" s="112"/>
      <c r="J136" s="113"/>
      <c r="K136" s="114"/>
      <c r="L136" s="114"/>
      <c r="M136" s="115"/>
      <c r="N136" s="141"/>
      <c r="O136" s="142"/>
      <c r="P136" s="143"/>
      <c r="Q136" s="141"/>
      <c r="R136" s="142"/>
      <c r="S136" s="143"/>
      <c r="T136" s="141"/>
      <c r="U136" s="142"/>
      <c r="V136" s="143"/>
      <c r="W136" s="107"/>
    </row>
    <row r="137" spans="1:23" ht="18" customHeight="1" x14ac:dyDescent="0.45">
      <c r="A137" s="83"/>
      <c r="B137" s="84"/>
      <c r="C137" s="84"/>
      <c r="D137" s="84"/>
      <c r="E137" s="51"/>
      <c r="F137" s="84"/>
      <c r="G137" s="85"/>
      <c r="H137" s="86"/>
      <c r="I137" s="87"/>
      <c r="J137" s="88"/>
      <c r="K137" s="89"/>
      <c r="L137" s="89"/>
      <c r="M137" s="90"/>
      <c r="N137" s="141"/>
      <c r="O137" s="139"/>
      <c r="P137" s="140"/>
      <c r="Q137" s="138"/>
      <c r="R137" s="139"/>
      <c r="S137" s="140"/>
      <c r="T137" s="138"/>
      <c r="U137" s="139"/>
      <c r="V137" s="140"/>
      <c r="W137" s="107"/>
    </row>
    <row r="138" spans="1:23" ht="18" customHeight="1" x14ac:dyDescent="0.45">
      <c r="A138" s="83"/>
      <c r="B138" s="46"/>
      <c r="C138" s="46"/>
      <c r="D138" s="46"/>
      <c r="E138" s="109"/>
      <c r="F138" s="46"/>
      <c r="G138" s="110"/>
      <c r="H138" s="111"/>
      <c r="I138" s="112"/>
      <c r="J138" s="113"/>
      <c r="K138" s="114"/>
      <c r="L138" s="114"/>
      <c r="M138" s="115"/>
      <c r="N138" s="141"/>
      <c r="O138" s="142"/>
      <c r="P138" s="143"/>
      <c r="Q138" s="141"/>
      <c r="R138" s="142"/>
      <c r="S138" s="143"/>
      <c r="T138" s="141"/>
      <c r="U138" s="142"/>
      <c r="V138" s="143"/>
      <c r="W138" s="107"/>
    </row>
    <row r="139" spans="1:23" ht="18" customHeight="1" x14ac:dyDescent="0.45">
      <c r="A139" s="83"/>
      <c r="B139" s="84"/>
      <c r="C139" s="84"/>
      <c r="D139" s="84"/>
      <c r="E139" s="51"/>
      <c r="F139" s="84"/>
      <c r="G139" s="85"/>
      <c r="H139" s="86"/>
      <c r="I139" s="87"/>
      <c r="J139" s="88"/>
      <c r="K139" s="89"/>
      <c r="L139" s="89"/>
      <c r="M139" s="90"/>
      <c r="N139" s="138"/>
      <c r="O139" s="139"/>
      <c r="P139" s="140"/>
      <c r="Q139" s="138"/>
      <c r="R139" s="139"/>
      <c r="S139" s="140"/>
      <c r="T139" s="138"/>
      <c r="U139" s="139"/>
      <c r="V139" s="140"/>
      <c r="W139" s="107"/>
    </row>
    <row r="140" spans="1:23" ht="18" customHeight="1" x14ac:dyDescent="0.45">
      <c r="A140" s="83"/>
      <c r="B140" s="46"/>
      <c r="C140" s="46"/>
      <c r="D140" s="46"/>
      <c r="E140" s="109"/>
      <c r="F140" s="46"/>
      <c r="G140" s="110"/>
      <c r="H140" s="111"/>
      <c r="I140" s="112"/>
      <c r="J140" s="113"/>
      <c r="K140" s="114"/>
      <c r="L140" s="114"/>
      <c r="M140" s="115"/>
      <c r="N140" s="141"/>
      <c r="O140" s="142"/>
      <c r="P140" s="143"/>
      <c r="Q140" s="141"/>
      <c r="R140" s="142"/>
      <c r="S140" s="143"/>
      <c r="T140" s="141"/>
      <c r="U140" s="142"/>
      <c r="V140" s="143"/>
      <c r="W140" s="107"/>
    </row>
    <row r="141" spans="1:23" ht="18" customHeight="1" x14ac:dyDescent="0.45">
      <c r="A141" s="83"/>
      <c r="B141" s="46"/>
      <c r="C141" s="46"/>
      <c r="D141" s="46"/>
      <c r="E141" s="109"/>
      <c r="F141" s="46"/>
      <c r="G141" s="110"/>
      <c r="H141" s="111"/>
      <c r="I141" s="112"/>
      <c r="J141" s="113"/>
      <c r="K141" s="114"/>
      <c r="L141" s="114"/>
      <c r="M141" s="115"/>
      <c r="N141" s="141"/>
      <c r="O141" s="142"/>
      <c r="P141" s="143"/>
      <c r="Q141" s="141"/>
      <c r="R141" s="142"/>
      <c r="S141" s="143"/>
      <c r="T141" s="141"/>
      <c r="U141" s="142"/>
      <c r="V141" s="143"/>
      <c r="W141" s="107"/>
    </row>
    <row r="142" spans="1:23" ht="18" customHeight="1" x14ac:dyDescent="0.45">
      <c r="A142" s="83"/>
      <c r="B142" s="84"/>
      <c r="C142" s="84"/>
      <c r="D142" s="84"/>
      <c r="E142" s="51"/>
      <c r="F142" s="84"/>
      <c r="G142" s="85"/>
      <c r="H142" s="86"/>
      <c r="I142" s="87"/>
      <c r="J142" s="88"/>
      <c r="K142" s="89"/>
      <c r="L142" s="89"/>
      <c r="M142" s="90"/>
      <c r="N142" s="141"/>
      <c r="O142" s="139"/>
      <c r="P142" s="140"/>
      <c r="Q142" s="138"/>
      <c r="R142" s="139"/>
      <c r="S142" s="140"/>
      <c r="T142" s="138"/>
      <c r="U142" s="139"/>
      <c r="V142" s="140"/>
      <c r="W142" s="107"/>
    </row>
    <row r="143" spans="1:23" ht="18" customHeight="1" x14ac:dyDescent="0.45">
      <c r="A143" s="83"/>
      <c r="B143" s="46"/>
      <c r="C143" s="46"/>
      <c r="D143" s="46"/>
      <c r="E143" s="109"/>
      <c r="F143" s="46"/>
      <c r="G143" s="110"/>
      <c r="H143" s="111"/>
      <c r="I143" s="112"/>
      <c r="J143" s="113"/>
      <c r="K143" s="114"/>
      <c r="L143" s="114"/>
      <c r="M143" s="115"/>
      <c r="N143" s="141"/>
      <c r="O143" s="142"/>
      <c r="P143" s="143"/>
      <c r="Q143" s="141"/>
      <c r="R143" s="142"/>
      <c r="S143" s="143"/>
      <c r="T143" s="141"/>
      <c r="U143" s="142"/>
      <c r="V143" s="143"/>
      <c r="W143" s="107"/>
    </row>
    <row r="144" spans="1:23" ht="18" customHeight="1" x14ac:dyDescent="0.45">
      <c r="A144" s="83"/>
      <c r="B144" s="84"/>
      <c r="C144" s="84"/>
      <c r="D144" s="84"/>
      <c r="E144" s="51"/>
      <c r="F144" s="84"/>
      <c r="G144" s="85"/>
      <c r="H144" s="86"/>
      <c r="I144" s="87"/>
      <c r="J144" s="88"/>
      <c r="K144" s="89"/>
      <c r="L144" s="89"/>
      <c r="M144" s="90"/>
      <c r="N144" s="138"/>
      <c r="O144" s="139"/>
      <c r="P144" s="140"/>
      <c r="Q144" s="138"/>
      <c r="R144" s="139"/>
      <c r="S144" s="140"/>
      <c r="T144" s="138"/>
      <c r="U144" s="139"/>
      <c r="V144" s="140"/>
      <c r="W144" s="107"/>
    </row>
    <row r="145" spans="1:23" ht="18" customHeight="1" x14ac:dyDescent="0.45">
      <c r="A145" s="83"/>
      <c r="B145" s="46"/>
      <c r="C145" s="46"/>
      <c r="D145" s="46"/>
      <c r="E145" s="109"/>
      <c r="F145" s="46"/>
      <c r="G145" s="110"/>
      <c r="H145" s="111"/>
      <c r="I145" s="112"/>
      <c r="J145" s="113"/>
      <c r="K145" s="114"/>
      <c r="L145" s="114"/>
      <c r="M145" s="115"/>
      <c r="N145" s="138"/>
      <c r="O145" s="142"/>
      <c r="P145" s="143"/>
      <c r="Q145" s="141"/>
      <c r="R145" s="142"/>
      <c r="S145" s="143"/>
      <c r="T145" s="141"/>
      <c r="U145" s="142"/>
      <c r="V145" s="143"/>
      <c r="W145" s="107"/>
    </row>
    <row r="146" spans="1:23" ht="18" customHeight="1" x14ac:dyDescent="0.45">
      <c r="A146" s="83"/>
      <c r="B146" s="84"/>
      <c r="C146" s="84"/>
      <c r="D146" s="84"/>
      <c r="E146" s="51"/>
      <c r="F146" s="84"/>
      <c r="G146" s="85"/>
      <c r="H146" s="86"/>
      <c r="I146" s="87"/>
      <c r="J146" s="88"/>
      <c r="K146" s="89"/>
      <c r="L146" s="89"/>
      <c r="M146" s="90"/>
      <c r="N146" s="138"/>
      <c r="O146" s="139"/>
      <c r="P146" s="140"/>
      <c r="Q146" s="138"/>
      <c r="R146" s="139"/>
      <c r="S146" s="140"/>
      <c r="T146" s="138"/>
      <c r="U146" s="139"/>
      <c r="V146" s="140"/>
      <c r="W146" s="107"/>
    </row>
    <row r="147" spans="1:23" ht="18" customHeight="1" x14ac:dyDescent="0.45">
      <c r="A147" s="83"/>
      <c r="B147" s="46"/>
      <c r="C147" s="46"/>
      <c r="D147" s="46"/>
      <c r="E147" s="109"/>
      <c r="F147" s="46"/>
      <c r="G147" s="110"/>
      <c r="H147" s="111"/>
      <c r="I147" s="112"/>
      <c r="J147" s="113"/>
      <c r="K147" s="114"/>
      <c r="L147" s="114"/>
      <c r="M147" s="115"/>
      <c r="N147" s="141"/>
      <c r="O147" s="142"/>
      <c r="P147" s="143"/>
      <c r="Q147" s="141"/>
      <c r="R147" s="142"/>
      <c r="S147" s="143"/>
      <c r="T147" s="141"/>
      <c r="U147" s="142"/>
      <c r="V147" s="143"/>
      <c r="W147" s="107"/>
    </row>
    <row r="148" spans="1:23" ht="18" customHeight="1" x14ac:dyDescent="0.45">
      <c r="A148" s="83"/>
      <c r="B148" s="84"/>
      <c r="C148" s="84"/>
      <c r="D148" s="84"/>
      <c r="E148" s="51"/>
      <c r="F148" s="84"/>
      <c r="G148" s="85"/>
      <c r="H148" s="86"/>
      <c r="I148" s="87"/>
      <c r="J148" s="88"/>
      <c r="K148" s="89"/>
      <c r="L148" s="89"/>
      <c r="M148" s="90"/>
      <c r="N148" s="141"/>
      <c r="O148" s="139"/>
      <c r="P148" s="140"/>
      <c r="Q148" s="138"/>
      <c r="R148" s="139"/>
      <c r="S148" s="140"/>
      <c r="T148" s="138"/>
      <c r="U148" s="139"/>
      <c r="V148" s="140"/>
      <c r="W148" s="107"/>
    </row>
    <row r="149" spans="1:23" ht="18" customHeight="1" x14ac:dyDescent="0.45">
      <c r="A149" s="83"/>
      <c r="B149" s="46"/>
      <c r="C149" s="46"/>
      <c r="D149" s="46"/>
      <c r="E149" s="109"/>
      <c r="F149" s="46"/>
      <c r="G149" s="110"/>
      <c r="H149" s="111"/>
      <c r="I149" s="112"/>
      <c r="J149" s="113"/>
      <c r="K149" s="114"/>
      <c r="L149" s="114"/>
      <c r="M149" s="115"/>
      <c r="N149" s="141"/>
      <c r="O149" s="142"/>
      <c r="P149" s="143"/>
      <c r="Q149" s="141"/>
      <c r="R149" s="142"/>
      <c r="S149" s="143"/>
      <c r="T149" s="141"/>
      <c r="U149" s="142"/>
      <c r="V149" s="143"/>
      <c r="W149" s="107"/>
    </row>
    <row r="150" spans="1:23" ht="18" customHeight="1" x14ac:dyDescent="0.45">
      <c r="A150" s="83"/>
      <c r="B150" s="84"/>
      <c r="C150" s="84"/>
      <c r="D150" s="84"/>
      <c r="E150" s="51"/>
      <c r="F150" s="84"/>
      <c r="G150" s="85"/>
      <c r="H150" s="86"/>
      <c r="I150" s="87"/>
      <c r="J150" s="88"/>
      <c r="K150" s="89"/>
      <c r="L150" s="89"/>
      <c r="M150" s="144"/>
      <c r="N150" s="138"/>
      <c r="O150" s="139"/>
      <c r="P150" s="140"/>
      <c r="Q150" s="138"/>
      <c r="R150" s="139"/>
      <c r="S150" s="140"/>
      <c r="T150" s="138"/>
      <c r="U150" s="139"/>
      <c r="V150" s="140"/>
      <c r="W150" s="107"/>
    </row>
    <row r="151" spans="1:23" ht="18" customHeight="1" x14ac:dyDescent="0.45">
      <c r="A151" s="83"/>
      <c r="B151" s="46"/>
      <c r="C151" s="46"/>
      <c r="D151" s="46"/>
      <c r="E151" s="109"/>
      <c r="F151" s="46"/>
      <c r="G151" s="110"/>
      <c r="H151" s="111"/>
      <c r="I151" s="112"/>
      <c r="J151" s="113"/>
      <c r="K151" s="114"/>
      <c r="L151" s="114"/>
      <c r="M151" s="145"/>
      <c r="N151" s="141"/>
      <c r="O151" s="142"/>
      <c r="P151" s="143"/>
      <c r="Q151" s="141"/>
      <c r="R151" s="142"/>
      <c r="S151" s="143"/>
      <c r="T151" s="141"/>
      <c r="U151" s="142"/>
      <c r="V151" s="143"/>
      <c r="W151" s="107"/>
    </row>
    <row r="152" spans="1:23" ht="18" customHeight="1" x14ac:dyDescent="0.45">
      <c r="A152" s="83"/>
      <c r="B152" s="84"/>
      <c r="C152" s="84"/>
      <c r="D152" s="84"/>
      <c r="E152" s="51"/>
      <c r="F152" s="84"/>
      <c r="G152" s="85"/>
      <c r="H152" s="86"/>
      <c r="I152" s="87"/>
      <c r="J152" s="88"/>
      <c r="K152" s="89"/>
      <c r="L152" s="89"/>
      <c r="M152" s="144"/>
      <c r="N152" s="138"/>
      <c r="O152" s="139"/>
      <c r="P152" s="140"/>
      <c r="Q152" s="138"/>
      <c r="R152" s="139"/>
      <c r="S152" s="140"/>
      <c r="T152" s="138"/>
      <c r="U152" s="139"/>
      <c r="V152" s="140"/>
      <c r="W152" s="107"/>
    </row>
    <row r="153" spans="1:23" ht="18" customHeight="1" x14ac:dyDescent="0.45">
      <c r="A153" s="83"/>
      <c r="B153" s="46"/>
      <c r="C153" s="46"/>
      <c r="D153" s="46"/>
      <c r="E153" s="109"/>
      <c r="F153" s="46"/>
      <c r="G153" s="110"/>
      <c r="H153" s="111"/>
      <c r="I153" s="112"/>
      <c r="J153" s="113"/>
      <c r="K153" s="114"/>
      <c r="L153" s="114"/>
      <c r="M153" s="145"/>
      <c r="N153" s="141"/>
      <c r="O153" s="142"/>
      <c r="P153" s="143"/>
      <c r="Q153" s="141"/>
      <c r="R153" s="142"/>
      <c r="S153" s="143"/>
      <c r="T153" s="141"/>
      <c r="U153" s="142"/>
      <c r="V153" s="143"/>
      <c r="W153" s="107"/>
    </row>
    <row r="154" spans="1:23" ht="18" customHeight="1" x14ac:dyDescent="0.45">
      <c r="A154" s="83"/>
      <c r="B154" s="84" t="str">
        <f>IF(A154&lt;&gt;"",INDEX('Raw Data'!$A$4:$A$203,A154-4+1),"")</f>
        <v/>
      </c>
      <c r="C154" s="84" t="str">
        <f>IF(A154&lt;&gt;"",INDEX('Raw Data'!$B$4:$B$203,A154-4+1),"")</f>
        <v/>
      </c>
      <c r="D154" s="84" t="str">
        <f>IF(A154&lt;&gt;"",INDEX('Raw Data'!$C$4:$C$203,A154-4+1),"")</f>
        <v/>
      </c>
      <c r="E154" s="51" t="str">
        <f>IF(A154&lt;&gt;"",INDEX('Raw Data'!$D$4:$D$203,A154-4+1),"")</f>
        <v/>
      </c>
      <c r="F154" s="84" t="str">
        <f>IF(A154&lt;&gt;"",INDEX('Raw Data'!$E$4:$E$203,A154-4+1),"")</f>
        <v/>
      </c>
      <c r="G154" s="85" t="str">
        <f>IF(A154&lt;&gt;"",INDEX('Raw Data'!$H$4:$H$203,A154-4+1),"")</f>
        <v/>
      </c>
      <c r="H154" s="86" t="str">
        <f>IF(A154&lt;&gt;"",INDEX('Raw Data'!$I$4:$I$203,A154-4+1),"")</f>
        <v/>
      </c>
      <c r="I154" s="87" t="str">
        <f>IF(A154&lt;&gt;"",INDEX('Raw Data'!$O$4:$O$203,A154-4+1),"")</f>
        <v/>
      </c>
      <c r="J154" s="88" t="str">
        <f>IF(A154&lt;&gt;"",IF(INDEX('Raw Data'!$D$4:$D$203,A154-4+1)&lt;&gt;"",INDEX('Raw Data'!$P$4:$P$203,A154-4+1),INDEX('Raw Data'!$R$4:$R$203,A154-4+1)),"")</f>
        <v/>
      </c>
      <c r="K154" s="89" t="str">
        <f>IF(A154&lt;&gt;"",IF(INDEX('Raw Data'!$Q$4:$Q$203,A154-4+1)&lt;&gt;"",INDEX('Raw Data'!$Q$4:$Q$203,A154-4+1),""),"")</f>
        <v/>
      </c>
      <c r="L154" s="89" t="str">
        <f t="shared" ref="L154:L185" si="0">IF(NOT(A154&lt;&gt;""),"",IF(EXACT(TRIM(F154),"Closed"),IF(K154="",J154,MIN(J154,K154)),J154))</f>
        <v/>
      </c>
      <c r="M154" s="144">
        <f t="shared" ref="M154:M185" si="1">IF(A154&lt;&gt;"",I154*L154,0)</f>
        <v>0</v>
      </c>
      <c r="N154" s="138"/>
      <c r="O154" s="139">
        <v>1</v>
      </c>
      <c r="P154" s="140">
        <f>IF(N154="",0,M154*Config!$C$25*O154)</f>
        <v>0</v>
      </c>
      <c r="Q154" s="138"/>
      <c r="R154" s="139">
        <v>0</v>
      </c>
      <c r="S154" s="140">
        <f>IF(Q154="",0,M154*Config!$C$25*R154)</f>
        <v>0</v>
      </c>
      <c r="T154" s="138"/>
      <c r="U154" s="139">
        <v>0</v>
      </c>
      <c r="V154" s="140">
        <f>IF(T154="",0,M154*Config!$C$25*U154)</f>
        <v>0</v>
      </c>
      <c r="W154" s="107" t="str">
        <f t="shared" ref="W154:W185" si="2">IF(AND(N154="",Q154="",T154=""),"",O154+R154+U154)</f>
        <v/>
      </c>
    </row>
    <row r="155" spans="1:23" ht="18" customHeight="1" x14ac:dyDescent="0.45">
      <c r="A155" s="83"/>
      <c r="B155" s="46" t="str">
        <f>IF(A155&lt;&gt;"",INDEX('Raw Data'!$A$4:$A$203,A155-4+1),"")</f>
        <v/>
      </c>
      <c r="C155" s="46" t="str">
        <f>IF(A155&lt;&gt;"",INDEX('Raw Data'!$B$4:$B$203,A155-4+1),"")</f>
        <v/>
      </c>
      <c r="D155" s="46" t="str">
        <f>IF(A155&lt;&gt;"",INDEX('Raw Data'!$C$4:$C$203,A155-4+1),"")</f>
        <v/>
      </c>
      <c r="E155" s="109" t="str">
        <f>IF(A155&lt;&gt;"",INDEX('Raw Data'!$D$4:$D$203,A155-4+1),"")</f>
        <v/>
      </c>
      <c r="F155" s="46" t="str">
        <f>IF(A155&lt;&gt;"",INDEX('Raw Data'!$E$4:$E$203,A155-4+1),"")</f>
        <v/>
      </c>
      <c r="G155" s="110" t="str">
        <f>IF(A155&lt;&gt;"",INDEX('Raw Data'!$H$4:$H$203,A155-4+1),"")</f>
        <v/>
      </c>
      <c r="H155" s="111" t="str">
        <f>IF(A155&lt;&gt;"",INDEX('Raw Data'!$I$4:$I$203,A155-4+1),"")</f>
        <v/>
      </c>
      <c r="I155" s="112" t="str">
        <f>IF(A155&lt;&gt;"",INDEX('Raw Data'!$O$4:$O$203,A155-4+1),"")</f>
        <v/>
      </c>
      <c r="J155" s="113" t="str">
        <f>IF(A155&lt;&gt;"",IF(INDEX('Raw Data'!$D$4:$D$203,A155-4+1)&lt;&gt;"",INDEX('Raw Data'!$P$4:$P$203,A155-4+1),INDEX('Raw Data'!$R$4:$R$203,A155-4+1)),"")</f>
        <v/>
      </c>
      <c r="K155" s="114" t="str">
        <f>IF(A155&lt;&gt;"",IF(INDEX('Raw Data'!$Q$4:$Q$203,A155-4+1)&lt;&gt;"",INDEX('Raw Data'!$Q$4:$Q$203,A155-4+1),""),"")</f>
        <v/>
      </c>
      <c r="L155" s="114" t="str">
        <f t="shared" si="0"/>
        <v/>
      </c>
      <c r="M155" s="145">
        <f t="shared" si="1"/>
        <v>0</v>
      </c>
      <c r="N155" s="141"/>
      <c r="O155" s="142">
        <v>1</v>
      </c>
      <c r="P155" s="143">
        <f>IF(N155="",0,M155*Config!$C$25*O155)</f>
        <v>0</v>
      </c>
      <c r="Q155" s="141"/>
      <c r="R155" s="142">
        <v>0</v>
      </c>
      <c r="S155" s="143">
        <f>IF(Q155="",0,M155*Config!$C$25*R155)</f>
        <v>0</v>
      </c>
      <c r="T155" s="141"/>
      <c r="U155" s="142">
        <v>0</v>
      </c>
      <c r="V155" s="143">
        <f>IF(T155="",0,M155*Config!$C$25*U155)</f>
        <v>0</v>
      </c>
      <c r="W155" s="107" t="str">
        <f t="shared" si="2"/>
        <v/>
      </c>
    </row>
    <row r="156" spans="1:23" ht="18" customHeight="1" x14ac:dyDescent="0.45">
      <c r="A156" s="83"/>
      <c r="B156" s="84" t="str">
        <f>IF(A156&lt;&gt;"",INDEX('Raw Data'!$A$4:$A$203,A156-4+1),"")</f>
        <v/>
      </c>
      <c r="C156" s="84" t="str">
        <f>IF(A156&lt;&gt;"",INDEX('Raw Data'!$B$4:$B$203,A156-4+1),"")</f>
        <v/>
      </c>
      <c r="D156" s="84" t="str">
        <f>IF(A156&lt;&gt;"",INDEX('Raw Data'!$C$4:$C$203,A156-4+1),"")</f>
        <v/>
      </c>
      <c r="E156" s="51" t="str">
        <f>IF(A156&lt;&gt;"",INDEX('Raw Data'!$D$4:$D$203,A156-4+1),"")</f>
        <v/>
      </c>
      <c r="F156" s="84" t="str">
        <f>IF(A156&lt;&gt;"",INDEX('Raw Data'!$E$4:$E$203,A156-4+1),"")</f>
        <v/>
      </c>
      <c r="G156" s="85" t="str">
        <f>IF(A156&lt;&gt;"",INDEX('Raw Data'!$H$4:$H$203,A156-4+1),"")</f>
        <v/>
      </c>
      <c r="H156" s="86" t="str">
        <f>IF(A156&lt;&gt;"",INDEX('Raw Data'!$I$4:$I$203,A156-4+1),"")</f>
        <v/>
      </c>
      <c r="I156" s="87" t="str">
        <f>IF(A156&lt;&gt;"",INDEX('Raw Data'!$O$4:$O$203,A156-4+1),"")</f>
        <v/>
      </c>
      <c r="J156" s="88" t="str">
        <f>IF(A156&lt;&gt;"",IF(INDEX('Raw Data'!$D$4:$D$203,A156-4+1)&lt;&gt;"",INDEX('Raw Data'!$P$4:$P$203,A156-4+1),INDEX('Raw Data'!$R$4:$R$203,A156-4+1)),"")</f>
        <v/>
      </c>
      <c r="K156" s="89" t="str">
        <f>IF(A156&lt;&gt;"",IF(INDEX('Raw Data'!$Q$4:$Q$203,A156-4+1)&lt;&gt;"",INDEX('Raw Data'!$Q$4:$Q$203,A156-4+1),""),"")</f>
        <v/>
      </c>
      <c r="L156" s="89" t="str">
        <f t="shared" si="0"/>
        <v/>
      </c>
      <c r="M156" s="144">
        <f t="shared" si="1"/>
        <v>0</v>
      </c>
      <c r="N156" s="138"/>
      <c r="O156" s="139">
        <v>1</v>
      </c>
      <c r="P156" s="140">
        <f>IF(N156="",0,M156*Config!$C$25*O156)</f>
        <v>0</v>
      </c>
      <c r="Q156" s="138"/>
      <c r="R156" s="139">
        <v>0</v>
      </c>
      <c r="S156" s="140">
        <f>IF(Q156="",0,M156*Config!$C$25*R156)</f>
        <v>0</v>
      </c>
      <c r="T156" s="138"/>
      <c r="U156" s="139">
        <v>0</v>
      </c>
      <c r="V156" s="140">
        <f>IF(T156="",0,M156*Config!$C$25*U156)</f>
        <v>0</v>
      </c>
      <c r="W156" s="107" t="str">
        <f t="shared" si="2"/>
        <v/>
      </c>
    </row>
    <row r="157" spans="1:23" ht="18" customHeight="1" x14ac:dyDescent="0.45">
      <c r="A157" s="83"/>
      <c r="B157" s="46" t="str">
        <f>IF(A157&lt;&gt;"",INDEX('Raw Data'!$A$4:$A$203,A157-4+1),"")</f>
        <v/>
      </c>
      <c r="C157" s="46" t="str">
        <f>IF(A157&lt;&gt;"",INDEX('Raw Data'!$B$4:$B$203,A157-4+1),"")</f>
        <v/>
      </c>
      <c r="D157" s="46" t="str">
        <f>IF(A157&lt;&gt;"",INDEX('Raw Data'!$C$4:$C$203,A157-4+1),"")</f>
        <v/>
      </c>
      <c r="E157" s="109" t="str">
        <f>IF(A157&lt;&gt;"",INDEX('Raw Data'!$D$4:$D$203,A157-4+1),"")</f>
        <v/>
      </c>
      <c r="F157" s="46" t="str">
        <f>IF(A157&lt;&gt;"",INDEX('Raw Data'!$E$4:$E$203,A157-4+1),"")</f>
        <v/>
      </c>
      <c r="G157" s="110" t="str">
        <f>IF(A157&lt;&gt;"",INDEX('Raw Data'!$H$4:$H$203,A157-4+1),"")</f>
        <v/>
      </c>
      <c r="H157" s="111" t="str">
        <f>IF(A157&lt;&gt;"",INDEX('Raw Data'!$I$4:$I$203,A157-4+1),"")</f>
        <v/>
      </c>
      <c r="I157" s="112" t="str">
        <f>IF(A157&lt;&gt;"",INDEX('Raw Data'!$O$4:$O$203,A157-4+1),"")</f>
        <v/>
      </c>
      <c r="J157" s="113" t="str">
        <f>IF(A157&lt;&gt;"",IF(INDEX('Raw Data'!$D$4:$D$203,A157-4+1)&lt;&gt;"",INDEX('Raw Data'!$P$4:$P$203,A157-4+1),INDEX('Raw Data'!$R$4:$R$203,A157-4+1)),"")</f>
        <v/>
      </c>
      <c r="K157" s="114" t="str">
        <f>IF(A157&lt;&gt;"",IF(INDEX('Raw Data'!$Q$4:$Q$203,A157-4+1)&lt;&gt;"",INDEX('Raw Data'!$Q$4:$Q$203,A157-4+1),""),"")</f>
        <v/>
      </c>
      <c r="L157" s="114" t="str">
        <f t="shared" si="0"/>
        <v/>
      </c>
      <c r="M157" s="145">
        <f t="shared" si="1"/>
        <v>0</v>
      </c>
      <c r="N157" s="141"/>
      <c r="O157" s="142">
        <v>1</v>
      </c>
      <c r="P157" s="143">
        <f>IF(N157="",0,M157*Config!$C$25*O157)</f>
        <v>0</v>
      </c>
      <c r="Q157" s="141"/>
      <c r="R157" s="142">
        <v>0</v>
      </c>
      <c r="S157" s="143">
        <f>IF(Q157="",0,M157*Config!$C$25*R157)</f>
        <v>0</v>
      </c>
      <c r="T157" s="141"/>
      <c r="U157" s="142">
        <v>0</v>
      </c>
      <c r="V157" s="143">
        <f>IF(T157="",0,M157*Config!$C$25*U157)</f>
        <v>0</v>
      </c>
      <c r="W157" s="107" t="str">
        <f t="shared" si="2"/>
        <v/>
      </c>
    </row>
    <row r="158" spans="1:23" ht="18" customHeight="1" x14ac:dyDescent="0.45">
      <c r="A158" s="83"/>
      <c r="B158" s="84" t="str">
        <f>IF(A158&lt;&gt;"",INDEX('Raw Data'!$A$4:$A$203,A158-4+1),"")</f>
        <v/>
      </c>
      <c r="C158" s="84" t="str">
        <f>IF(A158&lt;&gt;"",INDEX('Raw Data'!$B$4:$B$203,A158-4+1),"")</f>
        <v/>
      </c>
      <c r="D158" s="84" t="str">
        <f>IF(A158&lt;&gt;"",INDEX('Raw Data'!$C$4:$C$203,A158-4+1),"")</f>
        <v/>
      </c>
      <c r="E158" s="51" t="str">
        <f>IF(A158&lt;&gt;"",INDEX('Raw Data'!$D$4:$D$203,A158-4+1),"")</f>
        <v/>
      </c>
      <c r="F158" s="84" t="str">
        <f>IF(A158&lt;&gt;"",INDEX('Raw Data'!$E$4:$E$203,A158-4+1),"")</f>
        <v/>
      </c>
      <c r="G158" s="85" t="str">
        <f>IF(A158&lt;&gt;"",INDEX('Raw Data'!$H$4:$H$203,A158-4+1),"")</f>
        <v/>
      </c>
      <c r="H158" s="86" t="str">
        <f>IF(A158&lt;&gt;"",INDEX('Raw Data'!$I$4:$I$203,A158-4+1),"")</f>
        <v/>
      </c>
      <c r="I158" s="87" t="str">
        <f>IF(A158&lt;&gt;"",INDEX('Raw Data'!$O$4:$O$203,A158-4+1),"")</f>
        <v/>
      </c>
      <c r="J158" s="88" t="str">
        <f>IF(A158&lt;&gt;"",IF(INDEX('Raw Data'!$D$4:$D$203,A158-4+1)&lt;&gt;"",INDEX('Raw Data'!$P$4:$P$203,A158-4+1),INDEX('Raw Data'!$R$4:$R$203,A158-4+1)),"")</f>
        <v/>
      </c>
      <c r="K158" s="89" t="str">
        <f>IF(A158&lt;&gt;"",IF(INDEX('Raw Data'!$Q$4:$Q$203,A158-4+1)&lt;&gt;"",INDEX('Raw Data'!$Q$4:$Q$203,A158-4+1),""),"")</f>
        <v/>
      </c>
      <c r="L158" s="89" t="str">
        <f t="shared" si="0"/>
        <v/>
      </c>
      <c r="M158" s="144">
        <f t="shared" si="1"/>
        <v>0</v>
      </c>
      <c r="N158" s="138"/>
      <c r="O158" s="139">
        <v>1</v>
      </c>
      <c r="P158" s="140">
        <f>IF(N158="",0,M158*Config!$C$25*O158)</f>
        <v>0</v>
      </c>
      <c r="Q158" s="138"/>
      <c r="R158" s="139">
        <v>0</v>
      </c>
      <c r="S158" s="140">
        <f>IF(Q158="",0,M158*Config!$C$25*R158)</f>
        <v>0</v>
      </c>
      <c r="T158" s="138"/>
      <c r="U158" s="139">
        <v>0</v>
      </c>
      <c r="V158" s="140">
        <f>IF(T158="",0,M158*Config!$C$25*U158)</f>
        <v>0</v>
      </c>
      <c r="W158" s="107" t="str">
        <f t="shared" si="2"/>
        <v/>
      </c>
    </row>
    <row r="159" spans="1:23" ht="18" customHeight="1" x14ac:dyDescent="0.45">
      <c r="A159" s="83"/>
      <c r="B159" s="46" t="str">
        <f>IF(A159&lt;&gt;"",INDEX('Raw Data'!$A$4:$A$203,A159-4+1),"")</f>
        <v/>
      </c>
      <c r="C159" s="46" t="str">
        <f>IF(A159&lt;&gt;"",INDEX('Raw Data'!$B$4:$B$203,A159-4+1),"")</f>
        <v/>
      </c>
      <c r="D159" s="46" t="str">
        <f>IF(A159&lt;&gt;"",INDEX('Raw Data'!$C$4:$C$203,A159-4+1),"")</f>
        <v/>
      </c>
      <c r="E159" s="109" t="str">
        <f>IF(A159&lt;&gt;"",INDEX('Raw Data'!$D$4:$D$203,A159-4+1),"")</f>
        <v/>
      </c>
      <c r="F159" s="46" t="str">
        <f>IF(A159&lt;&gt;"",INDEX('Raw Data'!$E$4:$E$203,A159-4+1),"")</f>
        <v/>
      </c>
      <c r="G159" s="110" t="str">
        <f>IF(A159&lt;&gt;"",INDEX('Raw Data'!$H$4:$H$203,A159-4+1),"")</f>
        <v/>
      </c>
      <c r="H159" s="111" t="str">
        <f>IF(A159&lt;&gt;"",INDEX('Raw Data'!$I$4:$I$203,A159-4+1),"")</f>
        <v/>
      </c>
      <c r="I159" s="112" t="str">
        <f>IF(A159&lt;&gt;"",INDEX('Raw Data'!$O$4:$O$203,A159-4+1),"")</f>
        <v/>
      </c>
      <c r="J159" s="113" t="str">
        <f>IF(A159&lt;&gt;"",IF(INDEX('Raw Data'!$D$4:$D$203,A159-4+1)&lt;&gt;"",INDEX('Raw Data'!$P$4:$P$203,A159-4+1),INDEX('Raw Data'!$R$4:$R$203,A159-4+1)),"")</f>
        <v/>
      </c>
      <c r="K159" s="114" t="str">
        <f>IF(A159&lt;&gt;"",IF(INDEX('Raw Data'!$Q$4:$Q$203,A159-4+1)&lt;&gt;"",INDEX('Raw Data'!$Q$4:$Q$203,A159-4+1),""),"")</f>
        <v/>
      </c>
      <c r="L159" s="114" t="str">
        <f t="shared" si="0"/>
        <v/>
      </c>
      <c r="M159" s="145">
        <f t="shared" si="1"/>
        <v>0</v>
      </c>
      <c r="N159" s="141"/>
      <c r="O159" s="142">
        <v>1</v>
      </c>
      <c r="P159" s="143">
        <f>IF(N159="",0,M159*Config!$C$25*O159)</f>
        <v>0</v>
      </c>
      <c r="Q159" s="141"/>
      <c r="R159" s="142">
        <v>0</v>
      </c>
      <c r="S159" s="143">
        <f>IF(Q159="",0,M159*Config!$C$25*R159)</f>
        <v>0</v>
      </c>
      <c r="T159" s="141"/>
      <c r="U159" s="142">
        <v>0</v>
      </c>
      <c r="V159" s="143">
        <f>IF(T159="",0,M159*Config!$C$25*U159)</f>
        <v>0</v>
      </c>
      <c r="W159" s="107" t="str">
        <f t="shared" si="2"/>
        <v/>
      </c>
    </row>
    <row r="160" spans="1:23" ht="18" customHeight="1" x14ac:dyDescent="0.45">
      <c r="A160" s="83"/>
      <c r="B160" s="84" t="str">
        <f>IF(A160&lt;&gt;"",INDEX('Raw Data'!$A$4:$A$203,A160-4+1),"")</f>
        <v/>
      </c>
      <c r="C160" s="84" t="str">
        <f>IF(A160&lt;&gt;"",INDEX('Raw Data'!$B$4:$B$203,A160-4+1),"")</f>
        <v/>
      </c>
      <c r="D160" s="84" t="str">
        <f>IF(A160&lt;&gt;"",INDEX('Raw Data'!$C$4:$C$203,A160-4+1),"")</f>
        <v/>
      </c>
      <c r="E160" s="51" t="str">
        <f>IF(A160&lt;&gt;"",INDEX('Raw Data'!$D$4:$D$203,A160-4+1),"")</f>
        <v/>
      </c>
      <c r="F160" s="84" t="str">
        <f>IF(A160&lt;&gt;"",INDEX('Raw Data'!$E$4:$E$203,A160-4+1),"")</f>
        <v/>
      </c>
      <c r="G160" s="85" t="str">
        <f>IF(A160&lt;&gt;"",INDEX('Raw Data'!$H$4:$H$203,A160-4+1),"")</f>
        <v/>
      </c>
      <c r="H160" s="86" t="str">
        <f>IF(A160&lt;&gt;"",INDEX('Raw Data'!$I$4:$I$203,A160-4+1),"")</f>
        <v/>
      </c>
      <c r="I160" s="87" t="str">
        <f>IF(A160&lt;&gt;"",INDEX('Raw Data'!$O$4:$O$203,A160-4+1),"")</f>
        <v/>
      </c>
      <c r="J160" s="88" t="str">
        <f>IF(A160&lt;&gt;"",IF(INDEX('Raw Data'!$D$4:$D$203,A160-4+1)&lt;&gt;"",INDEX('Raw Data'!$P$4:$P$203,A160-4+1),INDEX('Raw Data'!$R$4:$R$203,A160-4+1)),"")</f>
        <v/>
      </c>
      <c r="K160" s="89" t="str">
        <f>IF(A160&lt;&gt;"",IF(INDEX('Raw Data'!$Q$4:$Q$203,A160-4+1)&lt;&gt;"",INDEX('Raw Data'!$Q$4:$Q$203,A160-4+1),""),"")</f>
        <v/>
      </c>
      <c r="L160" s="89" t="str">
        <f t="shared" si="0"/>
        <v/>
      </c>
      <c r="M160" s="144">
        <f t="shared" si="1"/>
        <v>0</v>
      </c>
      <c r="N160" s="138"/>
      <c r="O160" s="139">
        <v>1</v>
      </c>
      <c r="P160" s="140">
        <f>IF(N160="",0,M160*Config!$C$25*O160)</f>
        <v>0</v>
      </c>
      <c r="Q160" s="138"/>
      <c r="R160" s="139">
        <v>0</v>
      </c>
      <c r="S160" s="140">
        <f>IF(Q160="",0,M160*Config!$C$25*R160)</f>
        <v>0</v>
      </c>
      <c r="T160" s="138"/>
      <c r="U160" s="139">
        <v>0</v>
      </c>
      <c r="V160" s="140">
        <f>IF(T160="",0,M160*Config!$C$25*U160)</f>
        <v>0</v>
      </c>
      <c r="W160" s="107" t="str">
        <f t="shared" si="2"/>
        <v/>
      </c>
    </row>
    <row r="161" spans="1:23" ht="18" customHeight="1" x14ac:dyDescent="0.45">
      <c r="A161" s="83"/>
      <c r="B161" s="46" t="str">
        <f>IF(A161&lt;&gt;"",INDEX('Raw Data'!$A$4:$A$203,A161-4+1),"")</f>
        <v/>
      </c>
      <c r="C161" s="46" t="str">
        <f>IF(A161&lt;&gt;"",INDEX('Raw Data'!$B$4:$B$203,A161-4+1),"")</f>
        <v/>
      </c>
      <c r="D161" s="46" t="str">
        <f>IF(A161&lt;&gt;"",INDEX('Raw Data'!$C$4:$C$203,A161-4+1),"")</f>
        <v/>
      </c>
      <c r="E161" s="109" t="str">
        <f>IF(A161&lt;&gt;"",INDEX('Raw Data'!$D$4:$D$203,A161-4+1),"")</f>
        <v/>
      </c>
      <c r="F161" s="46" t="str">
        <f>IF(A161&lt;&gt;"",INDEX('Raw Data'!$E$4:$E$203,A161-4+1),"")</f>
        <v/>
      </c>
      <c r="G161" s="110" t="str">
        <f>IF(A161&lt;&gt;"",INDEX('Raw Data'!$H$4:$H$203,A161-4+1),"")</f>
        <v/>
      </c>
      <c r="H161" s="111" t="str">
        <f>IF(A161&lt;&gt;"",INDEX('Raw Data'!$I$4:$I$203,A161-4+1),"")</f>
        <v/>
      </c>
      <c r="I161" s="112" t="str">
        <f>IF(A161&lt;&gt;"",INDEX('Raw Data'!$O$4:$O$203,A161-4+1),"")</f>
        <v/>
      </c>
      <c r="J161" s="113" t="str">
        <f>IF(A161&lt;&gt;"",IF(INDEX('Raw Data'!$D$4:$D$203,A161-4+1)&lt;&gt;"",INDEX('Raw Data'!$P$4:$P$203,A161-4+1),INDEX('Raw Data'!$R$4:$R$203,A161-4+1)),"")</f>
        <v/>
      </c>
      <c r="K161" s="114" t="str">
        <f>IF(A161&lt;&gt;"",IF(INDEX('Raw Data'!$Q$4:$Q$203,A161-4+1)&lt;&gt;"",INDEX('Raw Data'!$Q$4:$Q$203,A161-4+1),""),"")</f>
        <v/>
      </c>
      <c r="L161" s="114" t="str">
        <f t="shared" si="0"/>
        <v/>
      </c>
      <c r="M161" s="145">
        <f t="shared" si="1"/>
        <v>0</v>
      </c>
      <c r="N161" s="141"/>
      <c r="O161" s="142">
        <v>1</v>
      </c>
      <c r="P161" s="143">
        <f>IF(N161="",0,M161*Config!$C$25*O161)</f>
        <v>0</v>
      </c>
      <c r="Q161" s="141"/>
      <c r="R161" s="142">
        <v>0</v>
      </c>
      <c r="S161" s="143">
        <f>IF(Q161="",0,M161*Config!$C$25*R161)</f>
        <v>0</v>
      </c>
      <c r="T161" s="141"/>
      <c r="U161" s="142">
        <v>0</v>
      </c>
      <c r="V161" s="143">
        <f>IF(T161="",0,M161*Config!$C$25*U161)</f>
        <v>0</v>
      </c>
      <c r="W161" s="107" t="str">
        <f t="shared" si="2"/>
        <v/>
      </c>
    </row>
    <row r="162" spans="1:23" ht="18" customHeight="1" x14ac:dyDescent="0.45">
      <c r="A162" s="83"/>
      <c r="B162" s="84" t="str">
        <f>IF(A162&lt;&gt;"",INDEX('Raw Data'!$A$4:$A$203,A162-4+1),"")</f>
        <v/>
      </c>
      <c r="C162" s="84" t="str">
        <f>IF(A162&lt;&gt;"",INDEX('Raw Data'!$B$4:$B$203,A162-4+1),"")</f>
        <v/>
      </c>
      <c r="D162" s="84" t="str">
        <f>IF(A162&lt;&gt;"",INDEX('Raw Data'!$C$4:$C$203,A162-4+1),"")</f>
        <v/>
      </c>
      <c r="E162" s="51" t="str">
        <f>IF(A162&lt;&gt;"",INDEX('Raw Data'!$D$4:$D$203,A162-4+1),"")</f>
        <v/>
      </c>
      <c r="F162" s="84" t="str">
        <f>IF(A162&lt;&gt;"",INDEX('Raw Data'!$E$4:$E$203,A162-4+1),"")</f>
        <v/>
      </c>
      <c r="G162" s="85" t="str">
        <f>IF(A162&lt;&gt;"",INDEX('Raw Data'!$H$4:$H$203,A162-4+1),"")</f>
        <v/>
      </c>
      <c r="H162" s="86" t="str">
        <f>IF(A162&lt;&gt;"",INDEX('Raw Data'!$I$4:$I$203,A162-4+1),"")</f>
        <v/>
      </c>
      <c r="I162" s="87" t="str">
        <f>IF(A162&lt;&gt;"",INDEX('Raw Data'!$O$4:$O$203,A162-4+1),"")</f>
        <v/>
      </c>
      <c r="J162" s="88" t="str">
        <f>IF(A162&lt;&gt;"",IF(INDEX('Raw Data'!$D$4:$D$203,A162-4+1)&lt;&gt;"",INDEX('Raw Data'!$P$4:$P$203,A162-4+1),INDEX('Raw Data'!$R$4:$R$203,A162-4+1)),"")</f>
        <v/>
      </c>
      <c r="K162" s="89" t="str">
        <f>IF(A162&lt;&gt;"",IF(INDEX('Raw Data'!$Q$4:$Q$203,A162-4+1)&lt;&gt;"",INDEX('Raw Data'!$Q$4:$Q$203,A162-4+1),""),"")</f>
        <v/>
      </c>
      <c r="L162" s="89" t="str">
        <f t="shared" si="0"/>
        <v/>
      </c>
      <c r="M162" s="144">
        <f t="shared" si="1"/>
        <v>0</v>
      </c>
      <c r="N162" s="138"/>
      <c r="O162" s="139">
        <v>1</v>
      </c>
      <c r="P162" s="140">
        <f>IF(N162="",0,M162*Config!$C$25*O162)</f>
        <v>0</v>
      </c>
      <c r="Q162" s="138"/>
      <c r="R162" s="139">
        <v>0</v>
      </c>
      <c r="S162" s="140">
        <f>IF(Q162="",0,M162*Config!$C$25*R162)</f>
        <v>0</v>
      </c>
      <c r="T162" s="138"/>
      <c r="U162" s="139">
        <v>0</v>
      </c>
      <c r="V162" s="140">
        <f>IF(T162="",0,M162*Config!$C$25*U162)</f>
        <v>0</v>
      </c>
      <c r="W162" s="107" t="str">
        <f t="shared" si="2"/>
        <v/>
      </c>
    </row>
    <row r="163" spans="1:23" ht="18" customHeight="1" x14ac:dyDescent="0.45">
      <c r="A163" s="83"/>
      <c r="B163" s="46" t="str">
        <f>IF(A163&lt;&gt;"",INDEX('Raw Data'!$A$4:$A$203,A163-4+1),"")</f>
        <v/>
      </c>
      <c r="C163" s="46" t="str">
        <f>IF(A163&lt;&gt;"",INDEX('Raw Data'!$B$4:$B$203,A163-4+1),"")</f>
        <v/>
      </c>
      <c r="D163" s="46" t="str">
        <f>IF(A163&lt;&gt;"",INDEX('Raw Data'!$C$4:$C$203,A163-4+1),"")</f>
        <v/>
      </c>
      <c r="E163" s="109" t="str">
        <f>IF(A163&lt;&gt;"",INDEX('Raw Data'!$D$4:$D$203,A163-4+1),"")</f>
        <v/>
      </c>
      <c r="F163" s="46" t="str">
        <f>IF(A163&lt;&gt;"",INDEX('Raw Data'!$E$4:$E$203,A163-4+1),"")</f>
        <v/>
      </c>
      <c r="G163" s="110" t="str">
        <f>IF(A163&lt;&gt;"",INDEX('Raw Data'!$H$4:$H$203,A163-4+1),"")</f>
        <v/>
      </c>
      <c r="H163" s="111" t="str">
        <f>IF(A163&lt;&gt;"",INDEX('Raw Data'!$I$4:$I$203,A163-4+1),"")</f>
        <v/>
      </c>
      <c r="I163" s="112" t="str">
        <f>IF(A163&lt;&gt;"",INDEX('Raw Data'!$O$4:$O$203,A163-4+1),"")</f>
        <v/>
      </c>
      <c r="J163" s="113" t="str">
        <f>IF(A163&lt;&gt;"",IF(INDEX('Raw Data'!$D$4:$D$203,A163-4+1)&lt;&gt;"",INDEX('Raw Data'!$P$4:$P$203,A163-4+1),INDEX('Raw Data'!$R$4:$R$203,A163-4+1)),"")</f>
        <v/>
      </c>
      <c r="K163" s="114" t="str">
        <f>IF(A163&lt;&gt;"",IF(INDEX('Raw Data'!$Q$4:$Q$203,A163-4+1)&lt;&gt;"",INDEX('Raw Data'!$Q$4:$Q$203,A163-4+1),""),"")</f>
        <v/>
      </c>
      <c r="L163" s="114" t="str">
        <f t="shared" si="0"/>
        <v/>
      </c>
      <c r="M163" s="145">
        <f t="shared" si="1"/>
        <v>0</v>
      </c>
      <c r="N163" s="141"/>
      <c r="O163" s="142">
        <v>1</v>
      </c>
      <c r="P163" s="143">
        <f>IF(N163="",0,M163*Config!$C$25*O163)</f>
        <v>0</v>
      </c>
      <c r="Q163" s="141"/>
      <c r="R163" s="142">
        <v>0</v>
      </c>
      <c r="S163" s="143">
        <f>IF(Q163="",0,M163*Config!$C$25*R163)</f>
        <v>0</v>
      </c>
      <c r="T163" s="141"/>
      <c r="U163" s="142">
        <v>0</v>
      </c>
      <c r="V163" s="143">
        <f>IF(T163="",0,M163*Config!$C$25*U163)</f>
        <v>0</v>
      </c>
      <c r="W163" s="107" t="str">
        <f t="shared" si="2"/>
        <v/>
      </c>
    </row>
    <row r="164" spans="1:23" ht="18" customHeight="1" x14ac:dyDescent="0.45">
      <c r="A164" s="83"/>
      <c r="B164" s="84" t="str">
        <f>IF(A164&lt;&gt;"",INDEX('Raw Data'!$A$4:$A$203,A164-4+1),"")</f>
        <v/>
      </c>
      <c r="C164" s="84" t="str">
        <f>IF(A164&lt;&gt;"",INDEX('Raw Data'!$B$4:$B$203,A164-4+1),"")</f>
        <v/>
      </c>
      <c r="D164" s="84" t="str">
        <f>IF(A164&lt;&gt;"",INDEX('Raw Data'!$C$4:$C$203,A164-4+1),"")</f>
        <v/>
      </c>
      <c r="E164" s="51" t="str">
        <f>IF(A164&lt;&gt;"",INDEX('Raw Data'!$D$4:$D$203,A164-4+1),"")</f>
        <v/>
      </c>
      <c r="F164" s="84" t="str">
        <f>IF(A164&lt;&gt;"",INDEX('Raw Data'!$E$4:$E$203,A164-4+1),"")</f>
        <v/>
      </c>
      <c r="G164" s="85" t="str">
        <f>IF(A164&lt;&gt;"",INDEX('Raw Data'!$H$4:$H$203,A164-4+1),"")</f>
        <v/>
      </c>
      <c r="H164" s="86" t="str">
        <f>IF(A164&lt;&gt;"",INDEX('Raw Data'!$I$4:$I$203,A164-4+1),"")</f>
        <v/>
      </c>
      <c r="I164" s="87" t="str">
        <f>IF(A164&lt;&gt;"",INDEX('Raw Data'!$O$4:$O$203,A164-4+1),"")</f>
        <v/>
      </c>
      <c r="J164" s="88" t="str">
        <f>IF(A164&lt;&gt;"",IF(INDEX('Raw Data'!$D$4:$D$203,A164-4+1)&lt;&gt;"",INDEX('Raw Data'!$P$4:$P$203,A164-4+1),INDEX('Raw Data'!$R$4:$R$203,A164-4+1)),"")</f>
        <v/>
      </c>
      <c r="K164" s="89" t="str">
        <f>IF(A164&lt;&gt;"",IF(INDEX('Raw Data'!$Q$4:$Q$203,A164-4+1)&lt;&gt;"",INDEX('Raw Data'!$Q$4:$Q$203,A164-4+1),""),"")</f>
        <v/>
      </c>
      <c r="L164" s="89" t="str">
        <f t="shared" si="0"/>
        <v/>
      </c>
      <c r="M164" s="144">
        <f t="shared" si="1"/>
        <v>0</v>
      </c>
      <c r="N164" s="138"/>
      <c r="O164" s="139">
        <v>1</v>
      </c>
      <c r="P164" s="140">
        <f>IF(N164="",0,M164*Config!$C$25*O164)</f>
        <v>0</v>
      </c>
      <c r="Q164" s="138"/>
      <c r="R164" s="139">
        <v>0</v>
      </c>
      <c r="S164" s="140">
        <f>IF(Q164="",0,M164*Config!$C$25*R164)</f>
        <v>0</v>
      </c>
      <c r="T164" s="138"/>
      <c r="U164" s="139">
        <v>0</v>
      </c>
      <c r="V164" s="140">
        <f>IF(T164="",0,M164*Config!$C$25*U164)</f>
        <v>0</v>
      </c>
      <c r="W164" s="107" t="str">
        <f t="shared" si="2"/>
        <v/>
      </c>
    </row>
    <row r="165" spans="1:23" ht="18" customHeight="1" x14ac:dyDescent="0.45">
      <c r="A165" s="83"/>
      <c r="B165" s="46" t="str">
        <f>IF(A165&lt;&gt;"",INDEX('Raw Data'!$A$4:$A$203,A165-4+1),"")</f>
        <v/>
      </c>
      <c r="C165" s="46" t="str">
        <f>IF(A165&lt;&gt;"",INDEX('Raw Data'!$B$4:$B$203,A165-4+1),"")</f>
        <v/>
      </c>
      <c r="D165" s="46" t="str">
        <f>IF(A165&lt;&gt;"",INDEX('Raw Data'!$C$4:$C$203,A165-4+1),"")</f>
        <v/>
      </c>
      <c r="E165" s="109" t="str">
        <f>IF(A165&lt;&gt;"",INDEX('Raw Data'!$D$4:$D$203,A165-4+1),"")</f>
        <v/>
      </c>
      <c r="F165" s="46" t="str">
        <f>IF(A165&lt;&gt;"",INDEX('Raw Data'!$E$4:$E$203,A165-4+1),"")</f>
        <v/>
      </c>
      <c r="G165" s="110" t="str">
        <f>IF(A165&lt;&gt;"",INDEX('Raw Data'!$H$4:$H$203,A165-4+1),"")</f>
        <v/>
      </c>
      <c r="H165" s="111" t="str">
        <f>IF(A165&lt;&gt;"",INDEX('Raw Data'!$I$4:$I$203,A165-4+1),"")</f>
        <v/>
      </c>
      <c r="I165" s="112" t="str">
        <f>IF(A165&lt;&gt;"",INDEX('Raw Data'!$O$4:$O$203,A165-4+1),"")</f>
        <v/>
      </c>
      <c r="J165" s="113" t="str">
        <f>IF(A165&lt;&gt;"",IF(INDEX('Raw Data'!$D$4:$D$203,A165-4+1)&lt;&gt;"",INDEX('Raw Data'!$P$4:$P$203,A165-4+1),INDEX('Raw Data'!$R$4:$R$203,A165-4+1)),"")</f>
        <v/>
      </c>
      <c r="K165" s="114" t="str">
        <f>IF(A165&lt;&gt;"",IF(INDEX('Raw Data'!$Q$4:$Q$203,A165-4+1)&lt;&gt;"",INDEX('Raw Data'!$Q$4:$Q$203,A165-4+1),""),"")</f>
        <v/>
      </c>
      <c r="L165" s="114" t="str">
        <f t="shared" si="0"/>
        <v/>
      </c>
      <c r="M165" s="145">
        <f t="shared" si="1"/>
        <v>0</v>
      </c>
      <c r="N165" s="141"/>
      <c r="O165" s="142">
        <v>1</v>
      </c>
      <c r="P165" s="143">
        <f>IF(N165="",0,M165*Config!$C$25*O165)</f>
        <v>0</v>
      </c>
      <c r="Q165" s="141"/>
      <c r="R165" s="142">
        <v>0</v>
      </c>
      <c r="S165" s="143">
        <f>IF(Q165="",0,M165*Config!$C$25*R165)</f>
        <v>0</v>
      </c>
      <c r="T165" s="141"/>
      <c r="U165" s="142">
        <v>0</v>
      </c>
      <c r="V165" s="143">
        <f>IF(T165="",0,M165*Config!$C$25*U165)</f>
        <v>0</v>
      </c>
      <c r="W165" s="107" t="str">
        <f t="shared" si="2"/>
        <v/>
      </c>
    </row>
    <row r="166" spans="1:23" ht="18" customHeight="1" x14ac:dyDescent="0.45">
      <c r="A166" s="83"/>
      <c r="B166" s="84" t="str">
        <f>IF(A166&lt;&gt;"",INDEX('Raw Data'!$A$4:$A$203,A166-4+1),"")</f>
        <v/>
      </c>
      <c r="C166" s="84" t="str">
        <f>IF(A166&lt;&gt;"",INDEX('Raw Data'!$B$4:$B$203,A166-4+1),"")</f>
        <v/>
      </c>
      <c r="D166" s="84" t="str">
        <f>IF(A166&lt;&gt;"",INDEX('Raw Data'!$C$4:$C$203,A166-4+1),"")</f>
        <v/>
      </c>
      <c r="E166" s="51" t="str">
        <f>IF(A166&lt;&gt;"",INDEX('Raw Data'!$D$4:$D$203,A166-4+1),"")</f>
        <v/>
      </c>
      <c r="F166" s="84" t="str">
        <f>IF(A166&lt;&gt;"",INDEX('Raw Data'!$E$4:$E$203,A166-4+1),"")</f>
        <v/>
      </c>
      <c r="G166" s="85" t="str">
        <f>IF(A166&lt;&gt;"",INDEX('Raw Data'!$H$4:$H$203,A166-4+1),"")</f>
        <v/>
      </c>
      <c r="H166" s="86" t="str">
        <f>IF(A166&lt;&gt;"",INDEX('Raw Data'!$I$4:$I$203,A166-4+1),"")</f>
        <v/>
      </c>
      <c r="I166" s="87" t="str">
        <f>IF(A166&lt;&gt;"",INDEX('Raw Data'!$O$4:$O$203,A166-4+1),"")</f>
        <v/>
      </c>
      <c r="J166" s="88" t="str">
        <f>IF(A166&lt;&gt;"",IF(INDEX('Raw Data'!$D$4:$D$203,A166-4+1)&lt;&gt;"",INDEX('Raw Data'!$P$4:$P$203,A166-4+1),INDEX('Raw Data'!$R$4:$R$203,A166-4+1)),"")</f>
        <v/>
      </c>
      <c r="K166" s="89" t="str">
        <f>IF(A166&lt;&gt;"",IF(INDEX('Raw Data'!$Q$4:$Q$203,A166-4+1)&lt;&gt;"",INDEX('Raw Data'!$Q$4:$Q$203,A166-4+1),""),"")</f>
        <v/>
      </c>
      <c r="L166" s="89" t="str">
        <f t="shared" si="0"/>
        <v/>
      </c>
      <c r="M166" s="144">
        <f t="shared" si="1"/>
        <v>0</v>
      </c>
      <c r="N166" s="138"/>
      <c r="O166" s="139">
        <v>1</v>
      </c>
      <c r="P166" s="140">
        <f>IF(N166="",0,M166*Config!$C$25*O166)</f>
        <v>0</v>
      </c>
      <c r="Q166" s="138"/>
      <c r="R166" s="139">
        <v>0</v>
      </c>
      <c r="S166" s="140">
        <f>IF(Q166="",0,M166*Config!$C$25*R166)</f>
        <v>0</v>
      </c>
      <c r="T166" s="138"/>
      <c r="U166" s="139">
        <v>0</v>
      </c>
      <c r="V166" s="140">
        <f>IF(T166="",0,M166*Config!$C$25*U166)</f>
        <v>0</v>
      </c>
      <c r="W166" s="107" t="str">
        <f t="shared" si="2"/>
        <v/>
      </c>
    </row>
    <row r="167" spans="1:23" ht="18" customHeight="1" x14ac:dyDescent="0.45">
      <c r="A167" s="83"/>
      <c r="B167" s="46" t="str">
        <f>IF(A167&lt;&gt;"",INDEX('Raw Data'!$A$4:$A$203,A167-4+1),"")</f>
        <v/>
      </c>
      <c r="C167" s="46" t="str">
        <f>IF(A167&lt;&gt;"",INDEX('Raw Data'!$B$4:$B$203,A167-4+1),"")</f>
        <v/>
      </c>
      <c r="D167" s="46" t="str">
        <f>IF(A167&lt;&gt;"",INDEX('Raw Data'!$C$4:$C$203,A167-4+1),"")</f>
        <v/>
      </c>
      <c r="E167" s="109" t="str">
        <f>IF(A167&lt;&gt;"",INDEX('Raw Data'!$D$4:$D$203,A167-4+1),"")</f>
        <v/>
      </c>
      <c r="F167" s="46" t="str">
        <f>IF(A167&lt;&gt;"",INDEX('Raw Data'!$E$4:$E$203,A167-4+1),"")</f>
        <v/>
      </c>
      <c r="G167" s="110" t="str">
        <f>IF(A167&lt;&gt;"",INDEX('Raw Data'!$H$4:$H$203,A167-4+1),"")</f>
        <v/>
      </c>
      <c r="H167" s="111" t="str">
        <f>IF(A167&lt;&gt;"",INDEX('Raw Data'!$I$4:$I$203,A167-4+1),"")</f>
        <v/>
      </c>
      <c r="I167" s="112" t="str">
        <f>IF(A167&lt;&gt;"",INDEX('Raw Data'!$O$4:$O$203,A167-4+1),"")</f>
        <v/>
      </c>
      <c r="J167" s="113" t="str">
        <f>IF(A167&lt;&gt;"",IF(INDEX('Raw Data'!$D$4:$D$203,A167-4+1)&lt;&gt;"",INDEX('Raw Data'!$P$4:$P$203,A167-4+1),INDEX('Raw Data'!$R$4:$R$203,A167-4+1)),"")</f>
        <v/>
      </c>
      <c r="K167" s="114" t="str">
        <f>IF(A167&lt;&gt;"",IF(INDEX('Raw Data'!$Q$4:$Q$203,A167-4+1)&lt;&gt;"",INDEX('Raw Data'!$Q$4:$Q$203,A167-4+1),""),"")</f>
        <v/>
      </c>
      <c r="L167" s="114" t="str">
        <f t="shared" si="0"/>
        <v/>
      </c>
      <c r="M167" s="145">
        <f t="shared" si="1"/>
        <v>0</v>
      </c>
      <c r="N167" s="141"/>
      <c r="O167" s="142">
        <v>1</v>
      </c>
      <c r="P167" s="143">
        <f>IF(N167="",0,M167*Config!$C$25*O167)</f>
        <v>0</v>
      </c>
      <c r="Q167" s="141"/>
      <c r="R167" s="142">
        <v>0</v>
      </c>
      <c r="S167" s="143">
        <f>IF(Q167="",0,M167*Config!$C$25*R167)</f>
        <v>0</v>
      </c>
      <c r="T167" s="141"/>
      <c r="U167" s="142">
        <v>0</v>
      </c>
      <c r="V167" s="143">
        <f>IF(T167="",0,M167*Config!$C$25*U167)</f>
        <v>0</v>
      </c>
      <c r="W167" s="107" t="str">
        <f t="shared" si="2"/>
        <v/>
      </c>
    </row>
    <row r="168" spans="1:23" ht="18" customHeight="1" x14ac:dyDescent="0.45">
      <c r="A168" s="83"/>
      <c r="B168" s="84" t="str">
        <f>IF(A168&lt;&gt;"",INDEX('Raw Data'!$A$4:$A$203,A168-4+1),"")</f>
        <v/>
      </c>
      <c r="C168" s="84" t="str">
        <f>IF(A168&lt;&gt;"",INDEX('Raw Data'!$B$4:$B$203,A168-4+1),"")</f>
        <v/>
      </c>
      <c r="D168" s="84" t="str">
        <f>IF(A168&lt;&gt;"",INDEX('Raw Data'!$C$4:$C$203,A168-4+1),"")</f>
        <v/>
      </c>
      <c r="E168" s="51" t="str">
        <f>IF(A168&lt;&gt;"",INDEX('Raw Data'!$D$4:$D$203,A168-4+1),"")</f>
        <v/>
      </c>
      <c r="F168" s="84" t="str">
        <f>IF(A168&lt;&gt;"",INDEX('Raw Data'!$E$4:$E$203,A168-4+1),"")</f>
        <v/>
      </c>
      <c r="G168" s="85" t="str">
        <f>IF(A168&lt;&gt;"",INDEX('Raw Data'!$H$4:$H$203,A168-4+1),"")</f>
        <v/>
      </c>
      <c r="H168" s="86" t="str">
        <f>IF(A168&lt;&gt;"",INDEX('Raw Data'!$I$4:$I$203,A168-4+1),"")</f>
        <v/>
      </c>
      <c r="I168" s="87" t="str">
        <f>IF(A168&lt;&gt;"",INDEX('Raw Data'!$O$4:$O$203,A168-4+1),"")</f>
        <v/>
      </c>
      <c r="J168" s="88" t="str">
        <f>IF(A168&lt;&gt;"",IF(INDEX('Raw Data'!$D$4:$D$203,A168-4+1)&lt;&gt;"",INDEX('Raw Data'!$P$4:$P$203,A168-4+1),INDEX('Raw Data'!$R$4:$R$203,A168-4+1)),"")</f>
        <v/>
      </c>
      <c r="K168" s="89" t="str">
        <f>IF(A168&lt;&gt;"",IF(INDEX('Raw Data'!$Q$4:$Q$203,A168-4+1)&lt;&gt;"",INDEX('Raw Data'!$Q$4:$Q$203,A168-4+1),""),"")</f>
        <v/>
      </c>
      <c r="L168" s="89" t="str">
        <f t="shared" si="0"/>
        <v/>
      </c>
      <c r="M168" s="144">
        <f t="shared" si="1"/>
        <v>0</v>
      </c>
      <c r="N168" s="138"/>
      <c r="O168" s="139">
        <v>1</v>
      </c>
      <c r="P168" s="140">
        <f>IF(N168="",0,M168*Config!$C$25*O168)</f>
        <v>0</v>
      </c>
      <c r="Q168" s="138"/>
      <c r="R168" s="139">
        <v>0</v>
      </c>
      <c r="S168" s="140">
        <f>IF(Q168="",0,M168*Config!$C$25*R168)</f>
        <v>0</v>
      </c>
      <c r="T168" s="138"/>
      <c r="U168" s="139">
        <v>0</v>
      </c>
      <c r="V168" s="140">
        <f>IF(T168="",0,M168*Config!$C$25*U168)</f>
        <v>0</v>
      </c>
      <c r="W168" s="107" t="str">
        <f t="shared" si="2"/>
        <v/>
      </c>
    </row>
    <row r="169" spans="1:23" ht="18" customHeight="1" x14ac:dyDescent="0.45">
      <c r="A169" s="83"/>
      <c r="B169" s="46" t="str">
        <f>IF(A169&lt;&gt;"",INDEX('Raw Data'!$A$4:$A$203,A169-4+1),"")</f>
        <v/>
      </c>
      <c r="C169" s="46" t="str">
        <f>IF(A169&lt;&gt;"",INDEX('Raw Data'!$B$4:$B$203,A169-4+1),"")</f>
        <v/>
      </c>
      <c r="D169" s="46" t="str">
        <f>IF(A169&lt;&gt;"",INDEX('Raw Data'!$C$4:$C$203,A169-4+1),"")</f>
        <v/>
      </c>
      <c r="E169" s="109" t="str">
        <f>IF(A169&lt;&gt;"",INDEX('Raw Data'!$D$4:$D$203,A169-4+1),"")</f>
        <v/>
      </c>
      <c r="F169" s="46" t="str">
        <f>IF(A169&lt;&gt;"",INDEX('Raw Data'!$E$4:$E$203,A169-4+1),"")</f>
        <v/>
      </c>
      <c r="G169" s="110" t="str">
        <f>IF(A169&lt;&gt;"",INDEX('Raw Data'!$H$4:$H$203,A169-4+1),"")</f>
        <v/>
      </c>
      <c r="H169" s="111" t="str">
        <f>IF(A169&lt;&gt;"",INDEX('Raw Data'!$I$4:$I$203,A169-4+1),"")</f>
        <v/>
      </c>
      <c r="I169" s="112" t="str">
        <f>IF(A169&lt;&gt;"",INDEX('Raw Data'!$O$4:$O$203,A169-4+1),"")</f>
        <v/>
      </c>
      <c r="J169" s="113" t="str">
        <f>IF(A169&lt;&gt;"",IF(INDEX('Raw Data'!$D$4:$D$203,A169-4+1)&lt;&gt;"",INDEX('Raw Data'!$P$4:$P$203,A169-4+1),INDEX('Raw Data'!$R$4:$R$203,A169-4+1)),"")</f>
        <v/>
      </c>
      <c r="K169" s="114" t="str">
        <f>IF(A169&lt;&gt;"",IF(INDEX('Raw Data'!$Q$4:$Q$203,A169-4+1)&lt;&gt;"",INDEX('Raw Data'!$Q$4:$Q$203,A169-4+1),""),"")</f>
        <v/>
      </c>
      <c r="L169" s="114" t="str">
        <f t="shared" si="0"/>
        <v/>
      </c>
      <c r="M169" s="145">
        <f t="shared" si="1"/>
        <v>0</v>
      </c>
      <c r="N169" s="141"/>
      <c r="O169" s="142">
        <v>1</v>
      </c>
      <c r="P169" s="143">
        <f>IF(N169="",0,M169*Config!$C$25*O169)</f>
        <v>0</v>
      </c>
      <c r="Q169" s="141"/>
      <c r="R169" s="142">
        <v>0</v>
      </c>
      <c r="S169" s="143">
        <f>IF(Q169="",0,M169*Config!$C$25*R169)</f>
        <v>0</v>
      </c>
      <c r="T169" s="141"/>
      <c r="U169" s="142">
        <v>0</v>
      </c>
      <c r="V169" s="143">
        <f>IF(T169="",0,M169*Config!$C$25*U169)</f>
        <v>0</v>
      </c>
      <c r="W169" s="107" t="str">
        <f t="shared" si="2"/>
        <v/>
      </c>
    </row>
    <row r="170" spans="1:23" ht="18" customHeight="1" x14ac:dyDescent="0.45">
      <c r="A170" s="83"/>
      <c r="B170" s="84" t="str">
        <f>IF(A170&lt;&gt;"",INDEX('Raw Data'!$A$4:$A$203,A170-4+1),"")</f>
        <v/>
      </c>
      <c r="C170" s="84" t="str">
        <f>IF(A170&lt;&gt;"",INDEX('Raw Data'!$B$4:$B$203,A170-4+1),"")</f>
        <v/>
      </c>
      <c r="D170" s="84" t="str">
        <f>IF(A170&lt;&gt;"",INDEX('Raw Data'!$C$4:$C$203,A170-4+1),"")</f>
        <v/>
      </c>
      <c r="E170" s="51" t="str">
        <f>IF(A170&lt;&gt;"",INDEX('Raw Data'!$D$4:$D$203,A170-4+1),"")</f>
        <v/>
      </c>
      <c r="F170" s="84" t="str">
        <f>IF(A170&lt;&gt;"",INDEX('Raw Data'!$E$4:$E$203,A170-4+1),"")</f>
        <v/>
      </c>
      <c r="G170" s="85" t="str">
        <f>IF(A170&lt;&gt;"",INDEX('Raw Data'!$H$4:$H$203,A170-4+1),"")</f>
        <v/>
      </c>
      <c r="H170" s="86" t="str">
        <f>IF(A170&lt;&gt;"",INDEX('Raw Data'!$I$4:$I$203,A170-4+1),"")</f>
        <v/>
      </c>
      <c r="I170" s="87" t="str">
        <f>IF(A170&lt;&gt;"",INDEX('Raw Data'!$O$4:$O$203,A170-4+1),"")</f>
        <v/>
      </c>
      <c r="J170" s="88" t="str">
        <f>IF(A170&lt;&gt;"",IF(INDEX('Raw Data'!$D$4:$D$203,A170-4+1)&lt;&gt;"",INDEX('Raw Data'!$P$4:$P$203,A170-4+1),INDEX('Raw Data'!$R$4:$R$203,A170-4+1)),"")</f>
        <v/>
      </c>
      <c r="K170" s="89" t="str">
        <f>IF(A170&lt;&gt;"",IF(INDEX('Raw Data'!$Q$4:$Q$203,A170-4+1)&lt;&gt;"",INDEX('Raw Data'!$Q$4:$Q$203,A170-4+1),""),"")</f>
        <v/>
      </c>
      <c r="L170" s="89" t="str">
        <f t="shared" si="0"/>
        <v/>
      </c>
      <c r="M170" s="144">
        <f t="shared" si="1"/>
        <v>0</v>
      </c>
      <c r="N170" s="138"/>
      <c r="O170" s="139">
        <v>1</v>
      </c>
      <c r="P170" s="140">
        <f>IF(N170="",0,M170*Config!$C$25*O170)</f>
        <v>0</v>
      </c>
      <c r="Q170" s="138"/>
      <c r="R170" s="139">
        <v>0</v>
      </c>
      <c r="S170" s="140">
        <f>IF(Q170="",0,M170*Config!$C$25*R170)</f>
        <v>0</v>
      </c>
      <c r="T170" s="138"/>
      <c r="U170" s="139">
        <v>0</v>
      </c>
      <c r="V170" s="140">
        <f>IF(T170="",0,M170*Config!$C$25*U170)</f>
        <v>0</v>
      </c>
      <c r="W170" s="107" t="str">
        <f t="shared" si="2"/>
        <v/>
      </c>
    </row>
    <row r="171" spans="1:23" ht="18" customHeight="1" x14ac:dyDescent="0.45">
      <c r="A171" s="83"/>
      <c r="B171" s="46" t="str">
        <f>IF(A171&lt;&gt;"",INDEX('Raw Data'!$A$4:$A$203,A171-4+1),"")</f>
        <v/>
      </c>
      <c r="C171" s="46" t="str">
        <f>IF(A171&lt;&gt;"",INDEX('Raw Data'!$B$4:$B$203,A171-4+1),"")</f>
        <v/>
      </c>
      <c r="D171" s="46" t="str">
        <f>IF(A171&lt;&gt;"",INDEX('Raw Data'!$C$4:$C$203,A171-4+1),"")</f>
        <v/>
      </c>
      <c r="E171" s="109" t="str">
        <f>IF(A171&lt;&gt;"",INDEX('Raw Data'!$D$4:$D$203,A171-4+1),"")</f>
        <v/>
      </c>
      <c r="F171" s="46" t="str">
        <f>IF(A171&lt;&gt;"",INDEX('Raw Data'!$E$4:$E$203,A171-4+1),"")</f>
        <v/>
      </c>
      <c r="G171" s="110" t="str">
        <f>IF(A171&lt;&gt;"",INDEX('Raw Data'!$H$4:$H$203,A171-4+1),"")</f>
        <v/>
      </c>
      <c r="H171" s="111" t="str">
        <f>IF(A171&lt;&gt;"",INDEX('Raw Data'!$I$4:$I$203,A171-4+1),"")</f>
        <v/>
      </c>
      <c r="I171" s="112" t="str">
        <f>IF(A171&lt;&gt;"",INDEX('Raw Data'!$O$4:$O$203,A171-4+1),"")</f>
        <v/>
      </c>
      <c r="J171" s="113" t="str">
        <f>IF(A171&lt;&gt;"",IF(INDEX('Raw Data'!$D$4:$D$203,A171-4+1)&lt;&gt;"",INDEX('Raw Data'!$P$4:$P$203,A171-4+1),INDEX('Raw Data'!$R$4:$R$203,A171-4+1)),"")</f>
        <v/>
      </c>
      <c r="K171" s="114" t="str">
        <f>IF(A171&lt;&gt;"",IF(INDEX('Raw Data'!$Q$4:$Q$203,A171-4+1)&lt;&gt;"",INDEX('Raw Data'!$Q$4:$Q$203,A171-4+1),""),"")</f>
        <v/>
      </c>
      <c r="L171" s="114" t="str">
        <f t="shared" si="0"/>
        <v/>
      </c>
      <c r="M171" s="145">
        <f t="shared" si="1"/>
        <v>0</v>
      </c>
      <c r="N171" s="141"/>
      <c r="O171" s="142">
        <v>1</v>
      </c>
      <c r="P171" s="143">
        <f>IF(N171="",0,M171*Config!$C$25*O171)</f>
        <v>0</v>
      </c>
      <c r="Q171" s="141"/>
      <c r="R171" s="142">
        <v>0</v>
      </c>
      <c r="S171" s="143">
        <f>IF(Q171="",0,M171*Config!$C$25*R171)</f>
        <v>0</v>
      </c>
      <c r="T171" s="141"/>
      <c r="U171" s="142">
        <v>0</v>
      </c>
      <c r="V171" s="143">
        <f>IF(T171="",0,M171*Config!$C$25*U171)</f>
        <v>0</v>
      </c>
      <c r="W171" s="107" t="str">
        <f t="shared" si="2"/>
        <v/>
      </c>
    </row>
    <row r="172" spans="1:23" ht="18" customHeight="1" x14ac:dyDescent="0.45">
      <c r="A172" s="83"/>
      <c r="B172" s="84" t="str">
        <f>IF(A172&lt;&gt;"",INDEX('Raw Data'!$A$4:$A$203,A172-4+1),"")</f>
        <v/>
      </c>
      <c r="C172" s="84" t="str">
        <f>IF(A172&lt;&gt;"",INDEX('Raw Data'!$B$4:$B$203,A172-4+1),"")</f>
        <v/>
      </c>
      <c r="D172" s="84" t="str">
        <f>IF(A172&lt;&gt;"",INDEX('Raw Data'!$C$4:$C$203,A172-4+1),"")</f>
        <v/>
      </c>
      <c r="E172" s="51" t="str">
        <f>IF(A172&lt;&gt;"",INDEX('Raw Data'!$D$4:$D$203,A172-4+1),"")</f>
        <v/>
      </c>
      <c r="F172" s="84" t="str">
        <f>IF(A172&lt;&gt;"",INDEX('Raw Data'!$E$4:$E$203,A172-4+1),"")</f>
        <v/>
      </c>
      <c r="G172" s="85" t="str">
        <f>IF(A172&lt;&gt;"",INDEX('Raw Data'!$H$4:$H$203,A172-4+1),"")</f>
        <v/>
      </c>
      <c r="H172" s="86" t="str">
        <f>IF(A172&lt;&gt;"",INDEX('Raw Data'!$I$4:$I$203,A172-4+1),"")</f>
        <v/>
      </c>
      <c r="I172" s="87" t="str">
        <f>IF(A172&lt;&gt;"",INDEX('Raw Data'!$O$4:$O$203,A172-4+1),"")</f>
        <v/>
      </c>
      <c r="J172" s="88" t="str">
        <f>IF(A172&lt;&gt;"",IF(INDEX('Raw Data'!$D$4:$D$203,A172-4+1)&lt;&gt;"",INDEX('Raw Data'!$P$4:$P$203,A172-4+1),INDEX('Raw Data'!$R$4:$R$203,A172-4+1)),"")</f>
        <v/>
      </c>
      <c r="K172" s="89" t="str">
        <f>IF(A172&lt;&gt;"",IF(INDEX('Raw Data'!$Q$4:$Q$203,A172-4+1)&lt;&gt;"",INDEX('Raw Data'!$Q$4:$Q$203,A172-4+1),""),"")</f>
        <v/>
      </c>
      <c r="L172" s="89" t="str">
        <f t="shared" si="0"/>
        <v/>
      </c>
      <c r="M172" s="144">
        <f t="shared" si="1"/>
        <v>0</v>
      </c>
      <c r="N172" s="138"/>
      <c r="O172" s="139">
        <v>1</v>
      </c>
      <c r="P172" s="140">
        <f>IF(N172="",0,M172*Config!$C$25*O172)</f>
        <v>0</v>
      </c>
      <c r="Q172" s="138"/>
      <c r="R172" s="139">
        <v>0</v>
      </c>
      <c r="S172" s="140">
        <f>IF(Q172="",0,M172*Config!$C$25*R172)</f>
        <v>0</v>
      </c>
      <c r="T172" s="138"/>
      <c r="U172" s="139">
        <v>0</v>
      </c>
      <c r="V172" s="140">
        <f>IF(T172="",0,M172*Config!$C$25*U172)</f>
        <v>0</v>
      </c>
      <c r="W172" s="107" t="str">
        <f t="shared" si="2"/>
        <v/>
      </c>
    </row>
    <row r="173" spans="1:23" ht="18" customHeight="1" x14ac:dyDescent="0.45">
      <c r="A173" s="83"/>
      <c r="B173" s="46" t="str">
        <f>IF(A173&lt;&gt;"",INDEX('Raw Data'!$A$4:$A$203,A173-4+1),"")</f>
        <v/>
      </c>
      <c r="C173" s="46" t="str">
        <f>IF(A173&lt;&gt;"",INDEX('Raw Data'!$B$4:$B$203,A173-4+1),"")</f>
        <v/>
      </c>
      <c r="D173" s="46" t="str">
        <f>IF(A173&lt;&gt;"",INDEX('Raw Data'!$C$4:$C$203,A173-4+1),"")</f>
        <v/>
      </c>
      <c r="E173" s="109" t="str">
        <f>IF(A173&lt;&gt;"",INDEX('Raw Data'!$D$4:$D$203,A173-4+1),"")</f>
        <v/>
      </c>
      <c r="F173" s="46" t="str">
        <f>IF(A173&lt;&gt;"",INDEX('Raw Data'!$E$4:$E$203,A173-4+1),"")</f>
        <v/>
      </c>
      <c r="G173" s="110" t="str">
        <f>IF(A173&lt;&gt;"",INDEX('Raw Data'!$H$4:$H$203,A173-4+1),"")</f>
        <v/>
      </c>
      <c r="H173" s="111" t="str">
        <f>IF(A173&lt;&gt;"",INDEX('Raw Data'!$I$4:$I$203,A173-4+1),"")</f>
        <v/>
      </c>
      <c r="I173" s="112" t="str">
        <f>IF(A173&lt;&gt;"",INDEX('Raw Data'!$O$4:$O$203,A173-4+1),"")</f>
        <v/>
      </c>
      <c r="J173" s="113" t="str">
        <f>IF(A173&lt;&gt;"",IF(INDEX('Raw Data'!$D$4:$D$203,A173-4+1)&lt;&gt;"",INDEX('Raw Data'!$P$4:$P$203,A173-4+1),INDEX('Raw Data'!$R$4:$R$203,A173-4+1)),"")</f>
        <v/>
      </c>
      <c r="K173" s="114" t="str">
        <f>IF(A173&lt;&gt;"",IF(INDEX('Raw Data'!$Q$4:$Q$203,A173-4+1)&lt;&gt;"",INDEX('Raw Data'!$Q$4:$Q$203,A173-4+1),""),"")</f>
        <v/>
      </c>
      <c r="L173" s="114" t="str">
        <f t="shared" si="0"/>
        <v/>
      </c>
      <c r="M173" s="145">
        <f t="shared" si="1"/>
        <v>0</v>
      </c>
      <c r="N173" s="141"/>
      <c r="O173" s="142">
        <v>1</v>
      </c>
      <c r="P173" s="143">
        <f>IF(N173="",0,M173*Config!$C$25*O173)</f>
        <v>0</v>
      </c>
      <c r="Q173" s="141"/>
      <c r="R173" s="142">
        <v>0</v>
      </c>
      <c r="S173" s="143">
        <f>IF(Q173="",0,M173*Config!$C$25*R173)</f>
        <v>0</v>
      </c>
      <c r="T173" s="141"/>
      <c r="U173" s="142">
        <v>0</v>
      </c>
      <c r="V173" s="143">
        <f>IF(T173="",0,M173*Config!$C$25*U173)</f>
        <v>0</v>
      </c>
      <c r="W173" s="107" t="str">
        <f t="shared" si="2"/>
        <v/>
      </c>
    </row>
    <row r="174" spans="1:23" ht="18" customHeight="1" x14ac:dyDescent="0.45">
      <c r="A174" s="83"/>
      <c r="B174" s="84" t="str">
        <f>IF(A174&lt;&gt;"",INDEX('Raw Data'!$A$4:$A$203,A174-4+1),"")</f>
        <v/>
      </c>
      <c r="C174" s="84" t="str">
        <f>IF(A174&lt;&gt;"",INDEX('Raw Data'!$B$4:$B$203,A174-4+1),"")</f>
        <v/>
      </c>
      <c r="D174" s="84" t="str">
        <f>IF(A174&lt;&gt;"",INDEX('Raw Data'!$C$4:$C$203,A174-4+1),"")</f>
        <v/>
      </c>
      <c r="E174" s="51" t="str">
        <f>IF(A174&lt;&gt;"",INDEX('Raw Data'!$D$4:$D$203,A174-4+1),"")</f>
        <v/>
      </c>
      <c r="F174" s="84" t="str">
        <f>IF(A174&lt;&gt;"",INDEX('Raw Data'!$E$4:$E$203,A174-4+1),"")</f>
        <v/>
      </c>
      <c r="G174" s="85" t="str">
        <f>IF(A174&lt;&gt;"",INDEX('Raw Data'!$H$4:$H$203,A174-4+1),"")</f>
        <v/>
      </c>
      <c r="H174" s="86" t="str">
        <f>IF(A174&lt;&gt;"",INDEX('Raw Data'!$I$4:$I$203,A174-4+1),"")</f>
        <v/>
      </c>
      <c r="I174" s="87" t="str">
        <f>IF(A174&lt;&gt;"",INDEX('Raw Data'!$O$4:$O$203,A174-4+1),"")</f>
        <v/>
      </c>
      <c r="J174" s="88" t="str">
        <f>IF(A174&lt;&gt;"",IF(INDEX('Raw Data'!$D$4:$D$203,A174-4+1)&lt;&gt;"",INDEX('Raw Data'!$P$4:$P$203,A174-4+1),INDEX('Raw Data'!$R$4:$R$203,A174-4+1)),"")</f>
        <v/>
      </c>
      <c r="K174" s="89" t="str">
        <f>IF(A174&lt;&gt;"",IF(INDEX('Raw Data'!$Q$4:$Q$203,A174-4+1)&lt;&gt;"",INDEX('Raw Data'!$Q$4:$Q$203,A174-4+1),""),"")</f>
        <v/>
      </c>
      <c r="L174" s="89" t="str">
        <f t="shared" si="0"/>
        <v/>
      </c>
      <c r="M174" s="144">
        <f t="shared" si="1"/>
        <v>0</v>
      </c>
      <c r="N174" s="138"/>
      <c r="O174" s="139">
        <v>1</v>
      </c>
      <c r="P174" s="140">
        <f>IF(N174="",0,M174*Config!$C$25*O174)</f>
        <v>0</v>
      </c>
      <c r="Q174" s="138"/>
      <c r="R174" s="139">
        <v>0</v>
      </c>
      <c r="S174" s="140">
        <f>IF(Q174="",0,M174*Config!$C$25*R174)</f>
        <v>0</v>
      </c>
      <c r="T174" s="138"/>
      <c r="U174" s="139">
        <v>0</v>
      </c>
      <c r="V174" s="140">
        <f>IF(T174="",0,M174*Config!$C$25*U174)</f>
        <v>0</v>
      </c>
      <c r="W174" s="107" t="str">
        <f t="shared" si="2"/>
        <v/>
      </c>
    </row>
    <row r="175" spans="1:23" ht="18" customHeight="1" x14ac:dyDescent="0.45">
      <c r="A175" s="83"/>
      <c r="B175" s="46" t="str">
        <f>IF(A175&lt;&gt;"",INDEX('Raw Data'!$A$4:$A$203,A175-4+1),"")</f>
        <v/>
      </c>
      <c r="C175" s="46" t="str">
        <f>IF(A175&lt;&gt;"",INDEX('Raw Data'!$B$4:$B$203,A175-4+1),"")</f>
        <v/>
      </c>
      <c r="D175" s="46" t="str">
        <f>IF(A175&lt;&gt;"",INDEX('Raw Data'!$C$4:$C$203,A175-4+1),"")</f>
        <v/>
      </c>
      <c r="E175" s="109" t="str">
        <f>IF(A175&lt;&gt;"",INDEX('Raw Data'!$D$4:$D$203,A175-4+1),"")</f>
        <v/>
      </c>
      <c r="F175" s="46" t="str">
        <f>IF(A175&lt;&gt;"",INDEX('Raw Data'!$E$4:$E$203,A175-4+1),"")</f>
        <v/>
      </c>
      <c r="G175" s="110" t="str">
        <f>IF(A175&lt;&gt;"",INDEX('Raw Data'!$H$4:$H$203,A175-4+1),"")</f>
        <v/>
      </c>
      <c r="H175" s="111" t="str">
        <f>IF(A175&lt;&gt;"",INDEX('Raw Data'!$I$4:$I$203,A175-4+1),"")</f>
        <v/>
      </c>
      <c r="I175" s="112" t="str">
        <f>IF(A175&lt;&gt;"",INDEX('Raw Data'!$O$4:$O$203,A175-4+1),"")</f>
        <v/>
      </c>
      <c r="J175" s="113" t="str">
        <f>IF(A175&lt;&gt;"",IF(INDEX('Raw Data'!$D$4:$D$203,A175-4+1)&lt;&gt;"",INDEX('Raw Data'!$P$4:$P$203,A175-4+1),INDEX('Raw Data'!$R$4:$R$203,A175-4+1)),"")</f>
        <v/>
      </c>
      <c r="K175" s="114" t="str">
        <f>IF(A175&lt;&gt;"",IF(INDEX('Raw Data'!$Q$4:$Q$203,A175-4+1)&lt;&gt;"",INDEX('Raw Data'!$Q$4:$Q$203,A175-4+1),""),"")</f>
        <v/>
      </c>
      <c r="L175" s="114" t="str">
        <f t="shared" si="0"/>
        <v/>
      </c>
      <c r="M175" s="145">
        <f t="shared" si="1"/>
        <v>0</v>
      </c>
      <c r="N175" s="141"/>
      <c r="O175" s="142">
        <v>1</v>
      </c>
      <c r="P175" s="143">
        <f>IF(N175="",0,M175*Config!$C$25*O175)</f>
        <v>0</v>
      </c>
      <c r="Q175" s="141"/>
      <c r="R175" s="142">
        <v>0</v>
      </c>
      <c r="S175" s="143">
        <f>IF(Q175="",0,M175*Config!$C$25*R175)</f>
        <v>0</v>
      </c>
      <c r="T175" s="141"/>
      <c r="U175" s="142">
        <v>0</v>
      </c>
      <c r="V175" s="143">
        <f>IF(T175="",0,M175*Config!$C$25*U175)</f>
        <v>0</v>
      </c>
      <c r="W175" s="107" t="str">
        <f t="shared" si="2"/>
        <v/>
      </c>
    </row>
    <row r="176" spans="1:23" ht="18" customHeight="1" x14ac:dyDescent="0.45">
      <c r="A176" s="83"/>
      <c r="B176" s="84" t="str">
        <f>IF(A176&lt;&gt;"",INDEX('Raw Data'!$A$4:$A$203,A176-4+1),"")</f>
        <v/>
      </c>
      <c r="C176" s="84" t="str">
        <f>IF(A176&lt;&gt;"",INDEX('Raw Data'!$B$4:$B$203,A176-4+1),"")</f>
        <v/>
      </c>
      <c r="D176" s="84" t="str">
        <f>IF(A176&lt;&gt;"",INDEX('Raw Data'!$C$4:$C$203,A176-4+1),"")</f>
        <v/>
      </c>
      <c r="E176" s="51" t="str">
        <f>IF(A176&lt;&gt;"",INDEX('Raw Data'!$D$4:$D$203,A176-4+1),"")</f>
        <v/>
      </c>
      <c r="F176" s="84" t="str">
        <f>IF(A176&lt;&gt;"",INDEX('Raw Data'!$E$4:$E$203,A176-4+1),"")</f>
        <v/>
      </c>
      <c r="G176" s="85" t="str">
        <f>IF(A176&lt;&gt;"",INDEX('Raw Data'!$H$4:$H$203,A176-4+1),"")</f>
        <v/>
      </c>
      <c r="H176" s="86" t="str">
        <f>IF(A176&lt;&gt;"",INDEX('Raw Data'!$I$4:$I$203,A176-4+1),"")</f>
        <v/>
      </c>
      <c r="I176" s="87" t="str">
        <f>IF(A176&lt;&gt;"",INDEX('Raw Data'!$O$4:$O$203,A176-4+1),"")</f>
        <v/>
      </c>
      <c r="J176" s="88" t="str">
        <f>IF(A176&lt;&gt;"",IF(INDEX('Raw Data'!$D$4:$D$203,A176-4+1)&lt;&gt;"",INDEX('Raw Data'!$P$4:$P$203,A176-4+1),INDEX('Raw Data'!$R$4:$R$203,A176-4+1)),"")</f>
        <v/>
      </c>
      <c r="K176" s="89" t="str">
        <f>IF(A176&lt;&gt;"",IF(INDEX('Raw Data'!$Q$4:$Q$203,A176-4+1)&lt;&gt;"",INDEX('Raw Data'!$Q$4:$Q$203,A176-4+1),""),"")</f>
        <v/>
      </c>
      <c r="L176" s="89" t="str">
        <f t="shared" si="0"/>
        <v/>
      </c>
      <c r="M176" s="144">
        <f t="shared" si="1"/>
        <v>0</v>
      </c>
      <c r="N176" s="138"/>
      <c r="O176" s="139">
        <v>1</v>
      </c>
      <c r="P176" s="140">
        <f>IF(N176="",0,M176*Config!$C$25*O176)</f>
        <v>0</v>
      </c>
      <c r="Q176" s="138"/>
      <c r="R176" s="139">
        <v>0</v>
      </c>
      <c r="S176" s="140">
        <f>IF(Q176="",0,M176*Config!$C$25*R176)</f>
        <v>0</v>
      </c>
      <c r="T176" s="138"/>
      <c r="U176" s="139">
        <v>0</v>
      </c>
      <c r="V176" s="140">
        <f>IF(T176="",0,M176*Config!$C$25*U176)</f>
        <v>0</v>
      </c>
      <c r="W176" s="107" t="str">
        <f t="shared" si="2"/>
        <v/>
      </c>
    </row>
    <row r="177" spans="1:23" ht="18" customHeight="1" x14ac:dyDescent="0.45">
      <c r="A177" s="83"/>
      <c r="B177" s="46" t="str">
        <f>IF(A177&lt;&gt;"",INDEX('Raw Data'!$A$4:$A$203,A177-4+1),"")</f>
        <v/>
      </c>
      <c r="C177" s="46" t="str">
        <f>IF(A177&lt;&gt;"",INDEX('Raw Data'!$B$4:$B$203,A177-4+1),"")</f>
        <v/>
      </c>
      <c r="D177" s="46" t="str">
        <f>IF(A177&lt;&gt;"",INDEX('Raw Data'!$C$4:$C$203,A177-4+1),"")</f>
        <v/>
      </c>
      <c r="E177" s="109" t="str">
        <f>IF(A177&lt;&gt;"",INDEX('Raw Data'!$D$4:$D$203,A177-4+1),"")</f>
        <v/>
      </c>
      <c r="F177" s="46" t="str">
        <f>IF(A177&lt;&gt;"",INDEX('Raw Data'!$E$4:$E$203,A177-4+1),"")</f>
        <v/>
      </c>
      <c r="G177" s="110" t="str">
        <f>IF(A177&lt;&gt;"",INDEX('Raw Data'!$H$4:$H$203,A177-4+1),"")</f>
        <v/>
      </c>
      <c r="H177" s="111" t="str">
        <f>IF(A177&lt;&gt;"",INDEX('Raw Data'!$I$4:$I$203,A177-4+1),"")</f>
        <v/>
      </c>
      <c r="I177" s="112" t="str">
        <f>IF(A177&lt;&gt;"",INDEX('Raw Data'!$O$4:$O$203,A177-4+1),"")</f>
        <v/>
      </c>
      <c r="J177" s="113" t="str">
        <f>IF(A177&lt;&gt;"",IF(INDEX('Raw Data'!$D$4:$D$203,A177-4+1)&lt;&gt;"",INDEX('Raw Data'!$P$4:$P$203,A177-4+1),INDEX('Raw Data'!$R$4:$R$203,A177-4+1)),"")</f>
        <v/>
      </c>
      <c r="K177" s="114" t="str">
        <f>IF(A177&lt;&gt;"",IF(INDEX('Raw Data'!$Q$4:$Q$203,A177-4+1)&lt;&gt;"",INDEX('Raw Data'!$Q$4:$Q$203,A177-4+1),""),"")</f>
        <v/>
      </c>
      <c r="L177" s="114" t="str">
        <f t="shared" si="0"/>
        <v/>
      </c>
      <c r="M177" s="145">
        <f t="shared" si="1"/>
        <v>0</v>
      </c>
      <c r="N177" s="141"/>
      <c r="O177" s="142">
        <v>1</v>
      </c>
      <c r="P177" s="143">
        <f>IF(N177="",0,M177*Config!$C$25*O177)</f>
        <v>0</v>
      </c>
      <c r="Q177" s="141"/>
      <c r="R177" s="142">
        <v>0</v>
      </c>
      <c r="S177" s="143">
        <f>IF(Q177="",0,M177*Config!$C$25*R177)</f>
        <v>0</v>
      </c>
      <c r="T177" s="141"/>
      <c r="U177" s="142">
        <v>0</v>
      </c>
      <c r="V177" s="143">
        <f>IF(T177="",0,M177*Config!$C$25*U177)</f>
        <v>0</v>
      </c>
      <c r="W177" s="107" t="str">
        <f t="shared" si="2"/>
        <v/>
      </c>
    </row>
    <row r="178" spans="1:23" ht="18" customHeight="1" x14ac:dyDescent="0.45">
      <c r="A178" s="83"/>
      <c r="B178" s="84" t="str">
        <f>IF(A178&lt;&gt;"",INDEX('Raw Data'!$A$4:$A$203,A178-4+1),"")</f>
        <v/>
      </c>
      <c r="C178" s="84" t="str">
        <f>IF(A178&lt;&gt;"",INDEX('Raw Data'!$B$4:$B$203,A178-4+1),"")</f>
        <v/>
      </c>
      <c r="D178" s="84" t="str">
        <f>IF(A178&lt;&gt;"",INDEX('Raw Data'!$C$4:$C$203,A178-4+1),"")</f>
        <v/>
      </c>
      <c r="E178" s="51" t="str">
        <f>IF(A178&lt;&gt;"",INDEX('Raw Data'!$D$4:$D$203,A178-4+1),"")</f>
        <v/>
      </c>
      <c r="F178" s="84" t="str">
        <f>IF(A178&lt;&gt;"",INDEX('Raw Data'!$E$4:$E$203,A178-4+1),"")</f>
        <v/>
      </c>
      <c r="G178" s="85" t="str">
        <f>IF(A178&lt;&gt;"",INDEX('Raw Data'!$H$4:$H$203,A178-4+1),"")</f>
        <v/>
      </c>
      <c r="H178" s="86" t="str">
        <f>IF(A178&lt;&gt;"",INDEX('Raw Data'!$I$4:$I$203,A178-4+1),"")</f>
        <v/>
      </c>
      <c r="I178" s="87" t="str">
        <f>IF(A178&lt;&gt;"",INDEX('Raw Data'!$O$4:$O$203,A178-4+1),"")</f>
        <v/>
      </c>
      <c r="J178" s="88" t="str">
        <f>IF(A178&lt;&gt;"",IF(INDEX('Raw Data'!$D$4:$D$203,A178-4+1)&lt;&gt;"",INDEX('Raw Data'!$P$4:$P$203,A178-4+1),INDEX('Raw Data'!$R$4:$R$203,A178-4+1)),"")</f>
        <v/>
      </c>
      <c r="K178" s="89" t="str">
        <f>IF(A178&lt;&gt;"",IF(INDEX('Raw Data'!$Q$4:$Q$203,A178-4+1)&lt;&gt;"",INDEX('Raw Data'!$Q$4:$Q$203,A178-4+1),""),"")</f>
        <v/>
      </c>
      <c r="L178" s="89" t="str">
        <f t="shared" si="0"/>
        <v/>
      </c>
      <c r="M178" s="144">
        <f t="shared" si="1"/>
        <v>0</v>
      </c>
      <c r="N178" s="138"/>
      <c r="O178" s="139">
        <v>1</v>
      </c>
      <c r="P178" s="140">
        <f>IF(N178="",0,M178*Config!$C$25*O178)</f>
        <v>0</v>
      </c>
      <c r="Q178" s="138"/>
      <c r="R178" s="139">
        <v>0</v>
      </c>
      <c r="S178" s="140">
        <f>IF(Q178="",0,M178*Config!$C$25*R178)</f>
        <v>0</v>
      </c>
      <c r="T178" s="138"/>
      <c r="U178" s="139">
        <v>0</v>
      </c>
      <c r="V178" s="140">
        <f>IF(T178="",0,M178*Config!$C$25*U178)</f>
        <v>0</v>
      </c>
      <c r="W178" s="107" t="str">
        <f t="shared" si="2"/>
        <v/>
      </c>
    </row>
    <row r="179" spans="1:23" ht="18" customHeight="1" x14ac:dyDescent="0.45">
      <c r="A179" s="83"/>
      <c r="B179" s="46" t="str">
        <f>IF(A179&lt;&gt;"",INDEX('Raw Data'!$A$4:$A$203,A179-4+1),"")</f>
        <v/>
      </c>
      <c r="C179" s="46" t="str">
        <f>IF(A179&lt;&gt;"",INDEX('Raw Data'!$B$4:$B$203,A179-4+1),"")</f>
        <v/>
      </c>
      <c r="D179" s="46" t="str">
        <f>IF(A179&lt;&gt;"",INDEX('Raw Data'!$C$4:$C$203,A179-4+1),"")</f>
        <v/>
      </c>
      <c r="E179" s="109" t="str">
        <f>IF(A179&lt;&gt;"",INDEX('Raw Data'!$D$4:$D$203,A179-4+1),"")</f>
        <v/>
      </c>
      <c r="F179" s="46" t="str">
        <f>IF(A179&lt;&gt;"",INDEX('Raw Data'!$E$4:$E$203,A179-4+1),"")</f>
        <v/>
      </c>
      <c r="G179" s="110" t="str">
        <f>IF(A179&lt;&gt;"",INDEX('Raw Data'!$H$4:$H$203,A179-4+1),"")</f>
        <v/>
      </c>
      <c r="H179" s="111" t="str">
        <f>IF(A179&lt;&gt;"",INDEX('Raw Data'!$I$4:$I$203,A179-4+1),"")</f>
        <v/>
      </c>
      <c r="I179" s="112" t="str">
        <f>IF(A179&lt;&gt;"",INDEX('Raw Data'!$O$4:$O$203,A179-4+1),"")</f>
        <v/>
      </c>
      <c r="J179" s="113" t="str">
        <f>IF(A179&lt;&gt;"",IF(INDEX('Raw Data'!$D$4:$D$203,A179-4+1)&lt;&gt;"",INDEX('Raw Data'!$P$4:$P$203,A179-4+1),INDEX('Raw Data'!$R$4:$R$203,A179-4+1)),"")</f>
        <v/>
      </c>
      <c r="K179" s="114" t="str">
        <f>IF(A179&lt;&gt;"",IF(INDEX('Raw Data'!$Q$4:$Q$203,A179-4+1)&lt;&gt;"",INDEX('Raw Data'!$Q$4:$Q$203,A179-4+1),""),"")</f>
        <v/>
      </c>
      <c r="L179" s="114" t="str">
        <f t="shared" si="0"/>
        <v/>
      </c>
      <c r="M179" s="145">
        <f t="shared" si="1"/>
        <v>0</v>
      </c>
      <c r="N179" s="141"/>
      <c r="O179" s="142">
        <v>1</v>
      </c>
      <c r="P179" s="143">
        <f>IF(N179="",0,M179*Config!$C$25*O179)</f>
        <v>0</v>
      </c>
      <c r="Q179" s="141"/>
      <c r="R179" s="142">
        <v>0</v>
      </c>
      <c r="S179" s="143">
        <f>IF(Q179="",0,M179*Config!$C$25*R179)</f>
        <v>0</v>
      </c>
      <c r="T179" s="141"/>
      <c r="U179" s="142">
        <v>0</v>
      </c>
      <c r="V179" s="143">
        <f>IF(T179="",0,M179*Config!$C$25*U179)</f>
        <v>0</v>
      </c>
      <c r="W179" s="107" t="str">
        <f t="shared" si="2"/>
        <v/>
      </c>
    </row>
    <row r="180" spans="1:23" ht="18" customHeight="1" x14ac:dyDescent="0.45">
      <c r="A180" s="83"/>
      <c r="B180" s="84" t="str">
        <f>IF(A180&lt;&gt;"",INDEX('Raw Data'!$A$4:$A$203,A180-4+1),"")</f>
        <v/>
      </c>
      <c r="C180" s="84" t="str">
        <f>IF(A180&lt;&gt;"",INDEX('Raw Data'!$B$4:$B$203,A180-4+1),"")</f>
        <v/>
      </c>
      <c r="D180" s="84" t="str">
        <f>IF(A180&lt;&gt;"",INDEX('Raw Data'!$C$4:$C$203,A180-4+1),"")</f>
        <v/>
      </c>
      <c r="E180" s="51" t="str">
        <f>IF(A180&lt;&gt;"",INDEX('Raw Data'!$D$4:$D$203,A180-4+1),"")</f>
        <v/>
      </c>
      <c r="F180" s="84" t="str">
        <f>IF(A180&lt;&gt;"",INDEX('Raw Data'!$E$4:$E$203,A180-4+1),"")</f>
        <v/>
      </c>
      <c r="G180" s="85" t="str">
        <f>IF(A180&lt;&gt;"",INDEX('Raw Data'!$H$4:$H$203,A180-4+1),"")</f>
        <v/>
      </c>
      <c r="H180" s="86" t="str">
        <f>IF(A180&lt;&gt;"",INDEX('Raw Data'!$I$4:$I$203,A180-4+1),"")</f>
        <v/>
      </c>
      <c r="I180" s="87" t="str">
        <f>IF(A180&lt;&gt;"",INDEX('Raw Data'!$O$4:$O$203,A180-4+1),"")</f>
        <v/>
      </c>
      <c r="J180" s="88" t="str">
        <f>IF(A180&lt;&gt;"",IF(INDEX('Raw Data'!$D$4:$D$203,A180-4+1)&lt;&gt;"",INDEX('Raw Data'!$P$4:$P$203,A180-4+1),INDEX('Raw Data'!$R$4:$R$203,A180-4+1)),"")</f>
        <v/>
      </c>
      <c r="K180" s="89" t="str">
        <f>IF(A180&lt;&gt;"",IF(INDEX('Raw Data'!$Q$4:$Q$203,A180-4+1)&lt;&gt;"",INDEX('Raw Data'!$Q$4:$Q$203,A180-4+1),""),"")</f>
        <v/>
      </c>
      <c r="L180" s="89" t="str">
        <f t="shared" si="0"/>
        <v/>
      </c>
      <c r="M180" s="144">
        <f t="shared" si="1"/>
        <v>0</v>
      </c>
      <c r="N180" s="138"/>
      <c r="O180" s="139">
        <v>1</v>
      </c>
      <c r="P180" s="140">
        <f>IF(N180="",0,M180*Config!$C$25*O180)</f>
        <v>0</v>
      </c>
      <c r="Q180" s="138"/>
      <c r="R180" s="139">
        <v>0</v>
      </c>
      <c r="S180" s="140">
        <f>IF(Q180="",0,M180*Config!$C$25*R180)</f>
        <v>0</v>
      </c>
      <c r="T180" s="138"/>
      <c r="U180" s="139">
        <v>0</v>
      </c>
      <c r="V180" s="140">
        <f>IF(T180="",0,M180*Config!$C$25*U180)</f>
        <v>0</v>
      </c>
      <c r="W180" s="107" t="str">
        <f t="shared" si="2"/>
        <v/>
      </c>
    </row>
    <row r="181" spans="1:23" ht="18" customHeight="1" x14ac:dyDescent="0.45">
      <c r="A181" s="83"/>
      <c r="B181" s="46" t="str">
        <f>IF(A181&lt;&gt;"",INDEX('Raw Data'!$A$4:$A$203,A181-4+1),"")</f>
        <v/>
      </c>
      <c r="C181" s="46" t="str">
        <f>IF(A181&lt;&gt;"",INDEX('Raw Data'!$B$4:$B$203,A181-4+1),"")</f>
        <v/>
      </c>
      <c r="D181" s="46" t="str">
        <f>IF(A181&lt;&gt;"",INDEX('Raw Data'!$C$4:$C$203,A181-4+1),"")</f>
        <v/>
      </c>
      <c r="E181" s="109" t="str">
        <f>IF(A181&lt;&gt;"",INDEX('Raw Data'!$D$4:$D$203,A181-4+1),"")</f>
        <v/>
      </c>
      <c r="F181" s="46" t="str">
        <f>IF(A181&lt;&gt;"",INDEX('Raw Data'!$E$4:$E$203,A181-4+1),"")</f>
        <v/>
      </c>
      <c r="G181" s="110" t="str">
        <f>IF(A181&lt;&gt;"",INDEX('Raw Data'!$H$4:$H$203,A181-4+1),"")</f>
        <v/>
      </c>
      <c r="H181" s="111" t="str">
        <f>IF(A181&lt;&gt;"",INDEX('Raw Data'!$I$4:$I$203,A181-4+1),"")</f>
        <v/>
      </c>
      <c r="I181" s="112" t="str">
        <f>IF(A181&lt;&gt;"",INDEX('Raw Data'!$O$4:$O$203,A181-4+1),"")</f>
        <v/>
      </c>
      <c r="J181" s="113" t="str">
        <f>IF(A181&lt;&gt;"",IF(INDEX('Raw Data'!$D$4:$D$203,A181-4+1)&lt;&gt;"",INDEX('Raw Data'!$P$4:$P$203,A181-4+1),INDEX('Raw Data'!$R$4:$R$203,A181-4+1)),"")</f>
        <v/>
      </c>
      <c r="K181" s="114" t="str">
        <f>IF(A181&lt;&gt;"",IF(INDEX('Raw Data'!$Q$4:$Q$203,A181-4+1)&lt;&gt;"",INDEX('Raw Data'!$Q$4:$Q$203,A181-4+1),""),"")</f>
        <v/>
      </c>
      <c r="L181" s="114" t="str">
        <f t="shared" si="0"/>
        <v/>
      </c>
      <c r="M181" s="145">
        <f t="shared" si="1"/>
        <v>0</v>
      </c>
      <c r="N181" s="141"/>
      <c r="O181" s="142">
        <v>1</v>
      </c>
      <c r="P181" s="143">
        <f>IF(N181="",0,M181*Config!$C$25*O181)</f>
        <v>0</v>
      </c>
      <c r="Q181" s="141"/>
      <c r="R181" s="142">
        <v>0</v>
      </c>
      <c r="S181" s="143">
        <f>IF(Q181="",0,M181*Config!$C$25*R181)</f>
        <v>0</v>
      </c>
      <c r="T181" s="141"/>
      <c r="U181" s="142">
        <v>0</v>
      </c>
      <c r="V181" s="143">
        <f>IF(T181="",0,M181*Config!$C$25*U181)</f>
        <v>0</v>
      </c>
      <c r="W181" s="107" t="str">
        <f t="shared" si="2"/>
        <v/>
      </c>
    </row>
    <row r="182" spans="1:23" ht="18" customHeight="1" x14ac:dyDescent="0.45">
      <c r="A182" s="83"/>
      <c r="B182" s="84" t="str">
        <f>IF(A182&lt;&gt;"",INDEX('Raw Data'!$A$4:$A$203,A182-4+1),"")</f>
        <v/>
      </c>
      <c r="C182" s="84" t="str">
        <f>IF(A182&lt;&gt;"",INDEX('Raw Data'!$B$4:$B$203,A182-4+1),"")</f>
        <v/>
      </c>
      <c r="D182" s="84" t="str">
        <f>IF(A182&lt;&gt;"",INDEX('Raw Data'!$C$4:$C$203,A182-4+1),"")</f>
        <v/>
      </c>
      <c r="E182" s="51" t="str">
        <f>IF(A182&lt;&gt;"",INDEX('Raw Data'!$D$4:$D$203,A182-4+1),"")</f>
        <v/>
      </c>
      <c r="F182" s="84" t="str">
        <f>IF(A182&lt;&gt;"",INDEX('Raw Data'!$E$4:$E$203,A182-4+1),"")</f>
        <v/>
      </c>
      <c r="G182" s="85" t="str">
        <f>IF(A182&lt;&gt;"",INDEX('Raw Data'!$H$4:$H$203,A182-4+1),"")</f>
        <v/>
      </c>
      <c r="H182" s="86" t="str">
        <f>IF(A182&lt;&gt;"",INDEX('Raw Data'!$I$4:$I$203,A182-4+1),"")</f>
        <v/>
      </c>
      <c r="I182" s="87" t="str">
        <f>IF(A182&lt;&gt;"",INDEX('Raw Data'!$O$4:$O$203,A182-4+1),"")</f>
        <v/>
      </c>
      <c r="J182" s="88" t="str">
        <f>IF(A182&lt;&gt;"",IF(INDEX('Raw Data'!$D$4:$D$203,A182-4+1)&lt;&gt;"",INDEX('Raw Data'!$P$4:$P$203,A182-4+1),INDEX('Raw Data'!$R$4:$R$203,A182-4+1)),"")</f>
        <v/>
      </c>
      <c r="K182" s="89" t="str">
        <f>IF(A182&lt;&gt;"",IF(INDEX('Raw Data'!$Q$4:$Q$203,A182-4+1)&lt;&gt;"",INDEX('Raw Data'!$Q$4:$Q$203,A182-4+1),""),"")</f>
        <v/>
      </c>
      <c r="L182" s="89" t="str">
        <f t="shared" si="0"/>
        <v/>
      </c>
      <c r="M182" s="144">
        <f t="shared" si="1"/>
        <v>0</v>
      </c>
      <c r="N182" s="138"/>
      <c r="O182" s="139">
        <v>1</v>
      </c>
      <c r="P182" s="140">
        <f>IF(N182="",0,M182*Config!$C$25*O182)</f>
        <v>0</v>
      </c>
      <c r="Q182" s="138"/>
      <c r="R182" s="139">
        <v>0</v>
      </c>
      <c r="S182" s="140">
        <f>IF(Q182="",0,M182*Config!$C$25*R182)</f>
        <v>0</v>
      </c>
      <c r="T182" s="138"/>
      <c r="U182" s="139">
        <v>0</v>
      </c>
      <c r="V182" s="140">
        <f>IF(T182="",0,M182*Config!$C$25*U182)</f>
        <v>0</v>
      </c>
      <c r="W182" s="107" t="str">
        <f t="shared" si="2"/>
        <v/>
      </c>
    </row>
    <row r="183" spans="1:23" ht="18" customHeight="1" x14ac:dyDescent="0.45">
      <c r="A183" s="83"/>
      <c r="B183" s="46" t="str">
        <f>IF(A183&lt;&gt;"",INDEX('Raw Data'!$A$4:$A$203,A183-4+1),"")</f>
        <v/>
      </c>
      <c r="C183" s="46" t="str">
        <f>IF(A183&lt;&gt;"",INDEX('Raw Data'!$B$4:$B$203,A183-4+1),"")</f>
        <v/>
      </c>
      <c r="D183" s="46" t="str">
        <f>IF(A183&lt;&gt;"",INDEX('Raw Data'!$C$4:$C$203,A183-4+1),"")</f>
        <v/>
      </c>
      <c r="E183" s="109" t="str">
        <f>IF(A183&lt;&gt;"",INDEX('Raw Data'!$D$4:$D$203,A183-4+1),"")</f>
        <v/>
      </c>
      <c r="F183" s="46" t="str">
        <f>IF(A183&lt;&gt;"",INDEX('Raw Data'!$E$4:$E$203,A183-4+1),"")</f>
        <v/>
      </c>
      <c r="G183" s="110" t="str">
        <f>IF(A183&lt;&gt;"",INDEX('Raw Data'!$H$4:$H$203,A183-4+1),"")</f>
        <v/>
      </c>
      <c r="H183" s="111" t="str">
        <f>IF(A183&lt;&gt;"",INDEX('Raw Data'!$I$4:$I$203,A183-4+1),"")</f>
        <v/>
      </c>
      <c r="I183" s="112" t="str">
        <f>IF(A183&lt;&gt;"",INDEX('Raw Data'!$O$4:$O$203,A183-4+1),"")</f>
        <v/>
      </c>
      <c r="J183" s="113" t="str">
        <f>IF(A183&lt;&gt;"",IF(INDEX('Raw Data'!$D$4:$D$203,A183-4+1)&lt;&gt;"",INDEX('Raw Data'!$P$4:$P$203,A183-4+1),INDEX('Raw Data'!$R$4:$R$203,A183-4+1)),"")</f>
        <v/>
      </c>
      <c r="K183" s="114" t="str">
        <f>IF(A183&lt;&gt;"",IF(INDEX('Raw Data'!$Q$4:$Q$203,A183-4+1)&lt;&gt;"",INDEX('Raw Data'!$Q$4:$Q$203,A183-4+1),""),"")</f>
        <v/>
      </c>
      <c r="L183" s="114" t="str">
        <f t="shared" si="0"/>
        <v/>
      </c>
      <c r="M183" s="145">
        <f t="shared" si="1"/>
        <v>0</v>
      </c>
      <c r="N183" s="141"/>
      <c r="O183" s="142">
        <v>1</v>
      </c>
      <c r="P183" s="143">
        <f>IF(N183="",0,M183*Config!$C$25*O183)</f>
        <v>0</v>
      </c>
      <c r="Q183" s="141"/>
      <c r="R183" s="142">
        <v>0</v>
      </c>
      <c r="S183" s="143">
        <f>IF(Q183="",0,M183*Config!$C$25*R183)</f>
        <v>0</v>
      </c>
      <c r="T183" s="141"/>
      <c r="U183" s="142">
        <v>0</v>
      </c>
      <c r="V183" s="143">
        <f>IF(T183="",0,M183*Config!$C$25*U183)</f>
        <v>0</v>
      </c>
      <c r="W183" s="107" t="str">
        <f t="shared" si="2"/>
        <v/>
      </c>
    </row>
    <row r="184" spans="1:23" ht="18" customHeight="1" x14ac:dyDescent="0.45">
      <c r="A184" s="83"/>
      <c r="B184" s="84" t="str">
        <f>IF(A184&lt;&gt;"",INDEX('Raw Data'!$A$4:$A$203,A184-4+1),"")</f>
        <v/>
      </c>
      <c r="C184" s="84" t="str">
        <f>IF(A184&lt;&gt;"",INDEX('Raw Data'!$B$4:$B$203,A184-4+1),"")</f>
        <v/>
      </c>
      <c r="D184" s="84" t="str">
        <f>IF(A184&lt;&gt;"",INDEX('Raw Data'!$C$4:$C$203,A184-4+1),"")</f>
        <v/>
      </c>
      <c r="E184" s="51" t="str">
        <f>IF(A184&lt;&gt;"",INDEX('Raw Data'!$D$4:$D$203,A184-4+1),"")</f>
        <v/>
      </c>
      <c r="F184" s="84" t="str">
        <f>IF(A184&lt;&gt;"",INDEX('Raw Data'!$E$4:$E$203,A184-4+1),"")</f>
        <v/>
      </c>
      <c r="G184" s="85" t="str">
        <f>IF(A184&lt;&gt;"",INDEX('Raw Data'!$H$4:$H$203,A184-4+1),"")</f>
        <v/>
      </c>
      <c r="H184" s="86" t="str">
        <f>IF(A184&lt;&gt;"",INDEX('Raw Data'!$I$4:$I$203,A184-4+1),"")</f>
        <v/>
      </c>
      <c r="I184" s="87" t="str">
        <f>IF(A184&lt;&gt;"",INDEX('Raw Data'!$O$4:$O$203,A184-4+1),"")</f>
        <v/>
      </c>
      <c r="J184" s="88" t="str">
        <f>IF(A184&lt;&gt;"",IF(INDEX('Raw Data'!$D$4:$D$203,A184-4+1)&lt;&gt;"",INDEX('Raw Data'!$P$4:$P$203,A184-4+1),INDEX('Raw Data'!$R$4:$R$203,A184-4+1)),"")</f>
        <v/>
      </c>
      <c r="K184" s="89" t="str">
        <f>IF(A184&lt;&gt;"",IF(INDEX('Raw Data'!$Q$4:$Q$203,A184-4+1)&lt;&gt;"",INDEX('Raw Data'!$Q$4:$Q$203,A184-4+1),""),"")</f>
        <v/>
      </c>
      <c r="L184" s="89" t="str">
        <f t="shared" si="0"/>
        <v/>
      </c>
      <c r="M184" s="144">
        <f t="shared" si="1"/>
        <v>0</v>
      </c>
      <c r="N184" s="138"/>
      <c r="O184" s="139">
        <v>1</v>
      </c>
      <c r="P184" s="140">
        <f>IF(N184="",0,M184*Config!$C$25*O184)</f>
        <v>0</v>
      </c>
      <c r="Q184" s="138"/>
      <c r="R184" s="139">
        <v>0</v>
      </c>
      <c r="S184" s="140">
        <f>IF(Q184="",0,M184*Config!$C$25*R184)</f>
        <v>0</v>
      </c>
      <c r="T184" s="138"/>
      <c r="U184" s="139">
        <v>0</v>
      </c>
      <c r="V184" s="140">
        <f>IF(T184="",0,M184*Config!$C$25*U184)</f>
        <v>0</v>
      </c>
      <c r="W184" s="107" t="str">
        <f t="shared" si="2"/>
        <v/>
      </c>
    </row>
    <row r="185" spans="1:23" ht="18" customHeight="1" x14ac:dyDescent="0.45">
      <c r="A185" s="83"/>
      <c r="B185" s="46" t="str">
        <f>IF(A185&lt;&gt;"",INDEX('Raw Data'!$A$4:$A$203,A185-4+1),"")</f>
        <v/>
      </c>
      <c r="C185" s="46" t="str">
        <f>IF(A185&lt;&gt;"",INDEX('Raw Data'!$B$4:$B$203,A185-4+1),"")</f>
        <v/>
      </c>
      <c r="D185" s="46" t="str">
        <f>IF(A185&lt;&gt;"",INDEX('Raw Data'!$C$4:$C$203,A185-4+1),"")</f>
        <v/>
      </c>
      <c r="E185" s="109" t="str">
        <f>IF(A185&lt;&gt;"",INDEX('Raw Data'!$D$4:$D$203,A185-4+1),"")</f>
        <v/>
      </c>
      <c r="F185" s="46" t="str">
        <f>IF(A185&lt;&gt;"",INDEX('Raw Data'!$E$4:$E$203,A185-4+1),"")</f>
        <v/>
      </c>
      <c r="G185" s="110" t="str">
        <f>IF(A185&lt;&gt;"",INDEX('Raw Data'!$H$4:$H$203,A185-4+1),"")</f>
        <v/>
      </c>
      <c r="H185" s="111" t="str">
        <f>IF(A185&lt;&gt;"",INDEX('Raw Data'!$I$4:$I$203,A185-4+1),"")</f>
        <v/>
      </c>
      <c r="I185" s="112" t="str">
        <f>IF(A185&lt;&gt;"",INDEX('Raw Data'!$O$4:$O$203,A185-4+1),"")</f>
        <v/>
      </c>
      <c r="J185" s="113" t="str">
        <f>IF(A185&lt;&gt;"",IF(INDEX('Raw Data'!$D$4:$D$203,A185-4+1)&lt;&gt;"",INDEX('Raw Data'!$P$4:$P$203,A185-4+1),INDEX('Raw Data'!$R$4:$R$203,A185-4+1)),"")</f>
        <v/>
      </c>
      <c r="K185" s="114" t="str">
        <f>IF(A185&lt;&gt;"",IF(INDEX('Raw Data'!$Q$4:$Q$203,A185-4+1)&lt;&gt;"",INDEX('Raw Data'!$Q$4:$Q$203,A185-4+1),""),"")</f>
        <v/>
      </c>
      <c r="L185" s="114" t="str">
        <f t="shared" si="0"/>
        <v/>
      </c>
      <c r="M185" s="145">
        <f t="shared" si="1"/>
        <v>0</v>
      </c>
      <c r="N185" s="141"/>
      <c r="O185" s="142">
        <v>1</v>
      </c>
      <c r="P185" s="143">
        <f>IF(N185="",0,M185*Config!$C$25*O185)</f>
        <v>0</v>
      </c>
      <c r="Q185" s="141"/>
      <c r="R185" s="142">
        <v>0</v>
      </c>
      <c r="S185" s="143">
        <f>IF(Q185="",0,M185*Config!$C$25*R185)</f>
        <v>0</v>
      </c>
      <c r="T185" s="141"/>
      <c r="U185" s="142">
        <v>0</v>
      </c>
      <c r="V185" s="143">
        <f>IF(T185="",0,M185*Config!$C$25*U185)</f>
        <v>0</v>
      </c>
      <c r="W185" s="107" t="str">
        <f t="shared" si="2"/>
        <v/>
      </c>
    </row>
    <row r="186" spans="1:23" ht="18" customHeight="1" x14ac:dyDescent="0.45">
      <c r="A186" s="83"/>
      <c r="B186" s="84" t="str">
        <f>IF(A186&lt;&gt;"",INDEX('Raw Data'!$A$4:$A$203,A186-4+1),"")</f>
        <v/>
      </c>
      <c r="C186" s="84" t="str">
        <f>IF(A186&lt;&gt;"",INDEX('Raw Data'!$B$4:$B$203,A186-4+1),"")</f>
        <v/>
      </c>
      <c r="D186" s="84" t="str">
        <f>IF(A186&lt;&gt;"",INDEX('Raw Data'!$C$4:$C$203,A186-4+1),"")</f>
        <v/>
      </c>
      <c r="E186" s="51" t="str">
        <f>IF(A186&lt;&gt;"",INDEX('Raw Data'!$D$4:$D$203,A186-4+1),"")</f>
        <v/>
      </c>
      <c r="F186" s="84" t="str">
        <f>IF(A186&lt;&gt;"",INDEX('Raw Data'!$E$4:$E$203,A186-4+1),"")</f>
        <v/>
      </c>
      <c r="G186" s="85" t="str">
        <f>IF(A186&lt;&gt;"",INDEX('Raw Data'!$H$4:$H$203,A186-4+1),"")</f>
        <v/>
      </c>
      <c r="H186" s="86" t="str">
        <f>IF(A186&lt;&gt;"",INDEX('Raw Data'!$I$4:$I$203,A186-4+1),"")</f>
        <v/>
      </c>
      <c r="I186" s="87" t="str">
        <f>IF(A186&lt;&gt;"",INDEX('Raw Data'!$O$4:$O$203,A186-4+1),"")</f>
        <v/>
      </c>
      <c r="J186" s="88" t="str">
        <f>IF(A186&lt;&gt;"",IF(INDEX('Raw Data'!$D$4:$D$203,A186-4+1)&lt;&gt;"",INDEX('Raw Data'!$P$4:$P$203,A186-4+1),INDEX('Raw Data'!$R$4:$R$203,A186-4+1)),"")</f>
        <v/>
      </c>
      <c r="K186" s="89" t="str">
        <f>IF(A186&lt;&gt;"",IF(INDEX('Raw Data'!$Q$4:$Q$203,A186-4+1)&lt;&gt;"",INDEX('Raw Data'!$Q$4:$Q$203,A186-4+1),""),"")</f>
        <v/>
      </c>
      <c r="L186" s="89" t="str">
        <f t="shared" ref="L186:L217" si="3">IF(NOT(A186&lt;&gt;""),"",IF(EXACT(TRIM(F186),"Closed"),IF(K186="",J186,MIN(J186,K186)),J186))</f>
        <v/>
      </c>
      <c r="M186" s="144">
        <f t="shared" ref="M186:M217" si="4">IF(A186&lt;&gt;"",I186*L186,0)</f>
        <v>0</v>
      </c>
      <c r="N186" s="138"/>
      <c r="O186" s="139">
        <v>1</v>
      </c>
      <c r="P186" s="140">
        <f>IF(N186="",0,M186*Config!$C$25*O186)</f>
        <v>0</v>
      </c>
      <c r="Q186" s="138"/>
      <c r="R186" s="139">
        <v>0</v>
      </c>
      <c r="S186" s="140">
        <f>IF(Q186="",0,M186*Config!$C$25*R186)</f>
        <v>0</v>
      </c>
      <c r="T186" s="138"/>
      <c r="U186" s="139">
        <v>0</v>
      </c>
      <c r="V186" s="140">
        <f>IF(T186="",0,M186*Config!$C$25*U186)</f>
        <v>0</v>
      </c>
      <c r="W186" s="107" t="str">
        <f t="shared" ref="W186:W205" si="5">IF(AND(N186="",Q186="",T186=""),"",O186+R186+U186)</f>
        <v/>
      </c>
    </row>
    <row r="187" spans="1:23" ht="18" customHeight="1" x14ac:dyDescent="0.45">
      <c r="A187" s="83"/>
      <c r="B187" s="46" t="str">
        <f>IF(A187&lt;&gt;"",INDEX('Raw Data'!$A$4:$A$203,A187-4+1),"")</f>
        <v/>
      </c>
      <c r="C187" s="46" t="str">
        <f>IF(A187&lt;&gt;"",INDEX('Raw Data'!$B$4:$B$203,A187-4+1),"")</f>
        <v/>
      </c>
      <c r="D187" s="46" t="str">
        <f>IF(A187&lt;&gt;"",INDEX('Raw Data'!$C$4:$C$203,A187-4+1),"")</f>
        <v/>
      </c>
      <c r="E187" s="109" t="str">
        <f>IF(A187&lt;&gt;"",INDEX('Raw Data'!$D$4:$D$203,A187-4+1),"")</f>
        <v/>
      </c>
      <c r="F187" s="46" t="str">
        <f>IF(A187&lt;&gt;"",INDEX('Raw Data'!$E$4:$E$203,A187-4+1),"")</f>
        <v/>
      </c>
      <c r="G187" s="110" t="str">
        <f>IF(A187&lt;&gt;"",INDEX('Raw Data'!$H$4:$H$203,A187-4+1),"")</f>
        <v/>
      </c>
      <c r="H187" s="111" t="str">
        <f>IF(A187&lt;&gt;"",INDEX('Raw Data'!$I$4:$I$203,A187-4+1),"")</f>
        <v/>
      </c>
      <c r="I187" s="112" t="str">
        <f>IF(A187&lt;&gt;"",INDEX('Raw Data'!$O$4:$O$203,A187-4+1),"")</f>
        <v/>
      </c>
      <c r="J187" s="113" t="str">
        <f>IF(A187&lt;&gt;"",IF(INDEX('Raw Data'!$D$4:$D$203,A187-4+1)&lt;&gt;"",INDEX('Raw Data'!$P$4:$P$203,A187-4+1),INDEX('Raw Data'!$R$4:$R$203,A187-4+1)),"")</f>
        <v/>
      </c>
      <c r="K187" s="114" t="str">
        <f>IF(A187&lt;&gt;"",IF(INDEX('Raw Data'!$Q$4:$Q$203,A187-4+1)&lt;&gt;"",INDEX('Raw Data'!$Q$4:$Q$203,A187-4+1),""),"")</f>
        <v/>
      </c>
      <c r="L187" s="114" t="str">
        <f t="shared" si="3"/>
        <v/>
      </c>
      <c r="M187" s="145">
        <f t="shared" si="4"/>
        <v>0</v>
      </c>
      <c r="N187" s="141"/>
      <c r="O187" s="142">
        <v>1</v>
      </c>
      <c r="P187" s="143">
        <f>IF(N187="",0,M187*Config!$C$25*O187)</f>
        <v>0</v>
      </c>
      <c r="Q187" s="141"/>
      <c r="R187" s="142">
        <v>0</v>
      </c>
      <c r="S187" s="143">
        <f>IF(Q187="",0,M187*Config!$C$25*R187)</f>
        <v>0</v>
      </c>
      <c r="T187" s="141"/>
      <c r="U187" s="142">
        <v>0</v>
      </c>
      <c r="V187" s="143">
        <f>IF(T187="",0,M187*Config!$C$25*U187)</f>
        <v>0</v>
      </c>
      <c r="W187" s="107" t="str">
        <f t="shared" si="5"/>
        <v/>
      </c>
    </row>
    <row r="188" spans="1:23" ht="18" customHeight="1" x14ac:dyDescent="0.45">
      <c r="A188" s="83"/>
      <c r="B188" s="84" t="str">
        <f>IF(A188&lt;&gt;"",INDEX('Raw Data'!$A$4:$A$203,A188-4+1),"")</f>
        <v/>
      </c>
      <c r="C188" s="84" t="str">
        <f>IF(A188&lt;&gt;"",INDEX('Raw Data'!$B$4:$B$203,A188-4+1),"")</f>
        <v/>
      </c>
      <c r="D188" s="84" t="str">
        <f>IF(A188&lt;&gt;"",INDEX('Raw Data'!$C$4:$C$203,A188-4+1),"")</f>
        <v/>
      </c>
      <c r="E188" s="51" t="str">
        <f>IF(A188&lt;&gt;"",INDEX('Raw Data'!$D$4:$D$203,A188-4+1),"")</f>
        <v/>
      </c>
      <c r="F188" s="84" t="str">
        <f>IF(A188&lt;&gt;"",INDEX('Raw Data'!$E$4:$E$203,A188-4+1),"")</f>
        <v/>
      </c>
      <c r="G188" s="85" t="str">
        <f>IF(A188&lt;&gt;"",INDEX('Raw Data'!$H$4:$H$203,A188-4+1),"")</f>
        <v/>
      </c>
      <c r="H188" s="86" t="str">
        <f>IF(A188&lt;&gt;"",INDEX('Raw Data'!$I$4:$I$203,A188-4+1),"")</f>
        <v/>
      </c>
      <c r="I188" s="87" t="str">
        <f>IF(A188&lt;&gt;"",INDEX('Raw Data'!$O$4:$O$203,A188-4+1),"")</f>
        <v/>
      </c>
      <c r="J188" s="88" t="str">
        <f>IF(A188&lt;&gt;"",IF(INDEX('Raw Data'!$D$4:$D$203,A188-4+1)&lt;&gt;"",INDEX('Raw Data'!$P$4:$P$203,A188-4+1),INDEX('Raw Data'!$R$4:$R$203,A188-4+1)),"")</f>
        <v/>
      </c>
      <c r="K188" s="89" t="str">
        <f>IF(A188&lt;&gt;"",IF(INDEX('Raw Data'!$Q$4:$Q$203,A188-4+1)&lt;&gt;"",INDEX('Raw Data'!$Q$4:$Q$203,A188-4+1),""),"")</f>
        <v/>
      </c>
      <c r="L188" s="89" t="str">
        <f t="shared" si="3"/>
        <v/>
      </c>
      <c r="M188" s="144">
        <f t="shared" si="4"/>
        <v>0</v>
      </c>
      <c r="N188" s="138"/>
      <c r="O188" s="139">
        <v>1</v>
      </c>
      <c r="P188" s="140">
        <f>IF(N188="",0,M188*Config!$C$25*O188)</f>
        <v>0</v>
      </c>
      <c r="Q188" s="138"/>
      <c r="R188" s="139">
        <v>0</v>
      </c>
      <c r="S188" s="140">
        <f>IF(Q188="",0,M188*Config!$C$25*R188)</f>
        <v>0</v>
      </c>
      <c r="T188" s="138"/>
      <c r="U188" s="139">
        <v>0</v>
      </c>
      <c r="V188" s="140">
        <f>IF(T188="",0,M188*Config!$C$25*U188)</f>
        <v>0</v>
      </c>
      <c r="W188" s="107" t="str">
        <f t="shared" si="5"/>
        <v/>
      </c>
    </row>
    <row r="189" spans="1:23" ht="18" customHeight="1" x14ac:dyDescent="0.45">
      <c r="A189" s="83"/>
      <c r="B189" s="46" t="str">
        <f>IF(A189&lt;&gt;"",INDEX('Raw Data'!$A$4:$A$203,A189-4+1),"")</f>
        <v/>
      </c>
      <c r="C189" s="46" t="str">
        <f>IF(A189&lt;&gt;"",INDEX('Raw Data'!$B$4:$B$203,A189-4+1),"")</f>
        <v/>
      </c>
      <c r="D189" s="46" t="str">
        <f>IF(A189&lt;&gt;"",INDEX('Raw Data'!$C$4:$C$203,A189-4+1),"")</f>
        <v/>
      </c>
      <c r="E189" s="109" t="str">
        <f>IF(A189&lt;&gt;"",INDEX('Raw Data'!$D$4:$D$203,A189-4+1),"")</f>
        <v/>
      </c>
      <c r="F189" s="46" t="str">
        <f>IF(A189&lt;&gt;"",INDEX('Raw Data'!$E$4:$E$203,A189-4+1),"")</f>
        <v/>
      </c>
      <c r="G189" s="110" t="str">
        <f>IF(A189&lt;&gt;"",INDEX('Raw Data'!$H$4:$H$203,A189-4+1),"")</f>
        <v/>
      </c>
      <c r="H189" s="111" t="str">
        <f>IF(A189&lt;&gt;"",INDEX('Raw Data'!$I$4:$I$203,A189-4+1),"")</f>
        <v/>
      </c>
      <c r="I189" s="112" t="str">
        <f>IF(A189&lt;&gt;"",INDEX('Raw Data'!$O$4:$O$203,A189-4+1),"")</f>
        <v/>
      </c>
      <c r="J189" s="113" t="str">
        <f>IF(A189&lt;&gt;"",IF(INDEX('Raw Data'!$D$4:$D$203,A189-4+1)&lt;&gt;"",INDEX('Raw Data'!$P$4:$P$203,A189-4+1),INDEX('Raw Data'!$R$4:$R$203,A189-4+1)),"")</f>
        <v/>
      </c>
      <c r="K189" s="114" t="str">
        <f>IF(A189&lt;&gt;"",IF(INDEX('Raw Data'!$Q$4:$Q$203,A189-4+1)&lt;&gt;"",INDEX('Raw Data'!$Q$4:$Q$203,A189-4+1),""),"")</f>
        <v/>
      </c>
      <c r="L189" s="114" t="str">
        <f t="shared" si="3"/>
        <v/>
      </c>
      <c r="M189" s="145">
        <f t="shared" si="4"/>
        <v>0</v>
      </c>
      <c r="N189" s="141"/>
      <c r="O189" s="142">
        <v>1</v>
      </c>
      <c r="P189" s="143">
        <f>IF(N189="",0,M189*Config!$C$25*O189)</f>
        <v>0</v>
      </c>
      <c r="Q189" s="141"/>
      <c r="R189" s="142">
        <v>0</v>
      </c>
      <c r="S189" s="143">
        <f>IF(Q189="",0,M189*Config!$C$25*R189)</f>
        <v>0</v>
      </c>
      <c r="T189" s="141"/>
      <c r="U189" s="142">
        <v>0</v>
      </c>
      <c r="V189" s="143">
        <f>IF(T189="",0,M189*Config!$C$25*U189)</f>
        <v>0</v>
      </c>
      <c r="W189" s="107" t="str">
        <f t="shared" si="5"/>
        <v/>
      </c>
    </row>
    <row r="190" spans="1:23" ht="18" customHeight="1" x14ac:dyDescent="0.45">
      <c r="A190" s="83"/>
      <c r="B190" s="84" t="str">
        <f>IF(A190&lt;&gt;"",INDEX('Raw Data'!$A$4:$A$203,A190-4+1),"")</f>
        <v/>
      </c>
      <c r="C190" s="84" t="str">
        <f>IF(A190&lt;&gt;"",INDEX('Raw Data'!$B$4:$B$203,A190-4+1),"")</f>
        <v/>
      </c>
      <c r="D190" s="84" t="str">
        <f>IF(A190&lt;&gt;"",INDEX('Raw Data'!$C$4:$C$203,A190-4+1),"")</f>
        <v/>
      </c>
      <c r="E190" s="51" t="str">
        <f>IF(A190&lt;&gt;"",INDEX('Raw Data'!$D$4:$D$203,A190-4+1),"")</f>
        <v/>
      </c>
      <c r="F190" s="84" t="str">
        <f>IF(A190&lt;&gt;"",INDEX('Raw Data'!$E$4:$E$203,A190-4+1),"")</f>
        <v/>
      </c>
      <c r="G190" s="85" t="str">
        <f>IF(A190&lt;&gt;"",INDEX('Raw Data'!$H$4:$H$203,A190-4+1),"")</f>
        <v/>
      </c>
      <c r="H190" s="86" t="str">
        <f>IF(A190&lt;&gt;"",INDEX('Raw Data'!$I$4:$I$203,A190-4+1),"")</f>
        <v/>
      </c>
      <c r="I190" s="87" t="str">
        <f>IF(A190&lt;&gt;"",INDEX('Raw Data'!$O$4:$O$203,A190-4+1),"")</f>
        <v/>
      </c>
      <c r="J190" s="88" t="str">
        <f>IF(A190&lt;&gt;"",IF(INDEX('Raw Data'!$D$4:$D$203,A190-4+1)&lt;&gt;"",INDEX('Raw Data'!$P$4:$P$203,A190-4+1),INDEX('Raw Data'!$R$4:$R$203,A190-4+1)),"")</f>
        <v/>
      </c>
      <c r="K190" s="89" t="str">
        <f>IF(A190&lt;&gt;"",IF(INDEX('Raw Data'!$Q$4:$Q$203,A190-4+1)&lt;&gt;"",INDEX('Raw Data'!$Q$4:$Q$203,A190-4+1),""),"")</f>
        <v/>
      </c>
      <c r="L190" s="89" t="str">
        <f t="shared" si="3"/>
        <v/>
      </c>
      <c r="M190" s="144">
        <f t="shared" si="4"/>
        <v>0</v>
      </c>
      <c r="N190" s="138"/>
      <c r="O190" s="139">
        <v>1</v>
      </c>
      <c r="P190" s="140">
        <f>IF(N190="",0,M190*Config!$C$25*O190)</f>
        <v>0</v>
      </c>
      <c r="Q190" s="138"/>
      <c r="R190" s="139">
        <v>0</v>
      </c>
      <c r="S190" s="140">
        <f>IF(Q190="",0,M190*Config!$C$25*R190)</f>
        <v>0</v>
      </c>
      <c r="T190" s="138"/>
      <c r="U190" s="139">
        <v>0</v>
      </c>
      <c r="V190" s="140">
        <f>IF(T190="",0,M190*Config!$C$25*U190)</f>
        <v>0</v>
      </c>
      <c r="W190" s="107" t="str">
        <f t="shared" si="5"/>
        <v/>
      </c>
    </row>
    <row r="191" spans="1:23" ht="18" customHeight="1" x14ac:dyDescent="0.45">
      <c r="A191" s="83"/>
      <c r="B191" s="46" t="str">
        <f>IF(A191&lt;&gt;"",INDEX('Raw Data'!$A$4:$A$203,A191-4+1),"")</f>
        <v/>
      </c>
      <c r="C191" s="46" t="str">
        <f>IF(A191&lt;&gt;"",INDEX('Raw Data'!$B$4:$B$203,A191-4+1),"")</f>
        <v/>
      </c>
      <c r="D191" s="46" t="str">
        <f>IF(A191&lt;&gt;"",INDEX('Raw Data'!$C$4:$C$203,A191-4+1),"")</f>
        <v/>
      </c>
      <c r="E191" s="109" t="str">
        <f>IF(A191&lt;&gt;"",INDEX('Raw Data'!$D$4:$D$203,A191-4+1),"")</f>
        <v/>
      </c>
      <c r="F191" s="46" t="str">
        <f>IF(A191&lt;&gt;"",INDEX('Raw Data'!$E$4:$E$203,A191-4+1),"")</f>
        <v/>
      </c>
      <c r="G191" s="110" t="str">
        <f>IF(A191&lt;&gt;"",INDEX('Raw Data'!$H$4:$H$203,A191-4+1),"")</f>
        <v/>
      </c>
      <c r="H191" s="111" t="str">
        <f>IF(A191&lt;&gt;"",INDEX('Raw Data'!$I$4:$I$203,A191-4+1),"")</f>
        <v/>
      </c>
      <c r="I191" s="112" t="str">
        <f>IF(A191&lt;&gt;"",INDEX('Raw Data'!$O$4:$O$203,A191-4+1),"")</f>
        <v/>
      </c>
      <c r="J191" s="113" t="str">
        <f>IF(A191&lt;&gt;"",IF(INDEX('Raw Data'!$D$4:$D$203,A191-4+1)&lt;&gt;"",INDEX('Raw Data'!$P$4:$P$203,A191-4+1),INDEX('Raw Data'!$R$4:$R$203,A191-4+1)),"")</f>
        <v/>
      </c>
      <c r="K191" s="114" t="str">
        <f>IF(A191&lt;&gt;"",IF(INDEX('Raw Data'!$Q$4:$Q$203,A191-4+1)&lt;&gt;"",INDEX('Raw Data'!$Q$4:$Q$203,A191-4+1),""),"")</f>
        <v/>
      </c>
      <c r="L191" s="114" t="str">
        <f t="shared" si="3"/>
        <v/>
      </c>
      <c r="M191" s="145">
        <f t="shared" si="4"/>
        <v>0</v>
      </c>
      <c r="N191" s="141"/>
      <c r="O191" s="142">
        <v>1</v>
      </c>
      <c r="P191" s="143">
        <f>IF(N191="",0,M191*Config!$C$25*O191)</f>
        <v>0</v>
      </c>
      <c r="Q191" s="141"/>
      <c r="R191" s="142">
        <v>0</v>
      </c>
      <c r="S191" s="143">
        <f>IF(Q191="",0,M191*Config!$C$25*R191)</f>
        <v>0</v>
      </c>
      <c r="T191" s="141"/>
      <c r="U191" s="142">
        <v>0</v>
      </c>
      <c r="V191" s="143">
        <f>IF(T191="",0,M191*Config!$C$25*U191)</f>
        <v>0</v>
      </c>
      <c r="W191" s="107" t="str">
        <f t="shared" si="5"/>
        <v/>
      </c>
    </row>
    <row r="192" spans="1:23" ht="18" customHeight="1" x14ac:dyDescent="0.45">
      <c r="A192" s="83"/>
      <c r="B192" s="84" t="str">
        <f>IF(A192&lt;&gt;"",INDEX('Raw Data'!$A$4:$A$203,A192-4+1),"")</f>
        <v/>
      </c>
      <c r="C192" s="84" t="str">
        <f>IF(A192&lt;&gt;"",INDEX('Raw Data'!$B$4:$B$203,A192-4+1),"")</f>
        <v/>
      </c>
      <c r="D192" s="84" t="str">
        <f>IF(A192&lt;&gt;"",INDEX('Raw Data'!$C$4:$C$203,A192-4+1),"")</f>
        <v/>
      </c>
      <c r="E192" s="51" t="str">
        <f>IF(A192&lt;&gt;"",INDEX('Raw Data'!$D$4:$D$203,A192-4+1),"")</f>
        <v/>
      </c>
      <c r="F192" s="84" t="str">
        <f>IF(A192&lt;&gt;"",INDEX('Raw Data'!$E$4:$E$203,A192-4+1),"")</f>
        <v/>
      </c>
      <c r="G192" s="85" t="str">
        <f>IF(A192&lt;&gt;"",INDEX('Raw Data'!$H$4:$H$203,A192-4+1),"")</f>
        <v/>
      </c>
      <c r="H192" s="86" t="str">
        <f>IF(A192&lt;&gt;"",INDEX('Raw Data'!$I$4:$I$203,A192-4+1),"")</f>
        <v/>
      </c>
      <c r="I192" s="87" t="str">
        <f>IF(A192&lt;&gt;"",INDEX('Raw Data'!$O$4:$O$203,A192-4+1),"")</f>
        <v/>
      </c>
      <c r="J192" s="88" t="str">
        <f>IF(A192&lt;&gt;"",IF(INDEX('Raw Data'!$D$4:$D$203,A192-4+1)&lt;&gt;"",INDEX('Raw Data'!$P$4:$P$203,A192-4+1),INDEX('Raw Data'!$R$4:$R$203,A192-4+1)),"")</f>
        <v/>
      </c>
      <c r="K192" s="89" t="str">
        <f>IF(A192&lt;&gt;"",IF(INDEX('Raw Data'!$Q$4:$Q$203,A192-4+1)&lt;&gt;"",INDEX('Raw Data'!$Q$4:$Q$203,A192-4+1),""),"")</f>
        <v/>
      </c>
      <c r="L192" s="89" t="str">
        <f t="shared" si="3"/>
        <v/>
      </c>
      <c r="M192" s="144">
        <f t="shared" si="4"/>
        <v>0</v>
      </c>
      <c r="N192" s="138"/>
      <c r="O192" s="139">
        <v>1</v>
      </c>
      <c r="P192" s="140">
        <f>IF(N192="",0,M192*Config!$C$25*O192)</f>
        <v>0</v>
      </c>
      <c r="Q192" s="138"/>
      <c r="R192" s="139">
        <v>0</v>
      </c>
      <c r="S192" s="140">
        <f>IF(Q192="",0,M192*Config!$C$25*R192)</f>
        <v>0</v>
      </c>
      <c r="T192" s="138"/>
      <c r="U192" s="139">
        <v>0</v>
      </c>
      <c r="V192" s="140">
        <f>IF(T192="",0,M192*Config!$C$25*U192)</f>
        <v>0</v>
      </c>
      <c r="W192" s="107" t="str">
        <f t="shared" si="5"/>
        <v/>
      </c>
    </row>
    <row r="193" spans="1:23" ht="18" customHeight="1" x14ac:dyDescent="0.45">
      <c r="A193" s="83"/>
      <c r="B193" s="46" t="str">
        <f>IF(A193&lt;&gt;"",INDEX('Raw Data'!$A$4:$A$203,A193-4+1),"")</f>
        <v/>
      </c>
      <c r="C193" s="46" t="str">
        <f>IF(A193&lt;&gt;"",INDEX('Raw Data'!$B$4:$B$203,A193-4+1),"")</f>
        <v/>
      </c>
      <c r="D193" s="46" t="str">
        <f>IF(A193&lt;&gt;"",INDEX('Raw Data'!$C$4:$C$203,A193-4+1),"")</f>
        <v/>
      </c>
      <c r="E193" s="109" t="str">
        <f>IF(A193&lt;&gt;"",INDEX('Raw Data'!$D$4:$D$203,A193-4+1),"")</f>
        <v/>
      </c>
      <c r="F193" s="46" t="str">
        <f>IF(A193&lt;&gt;"",INDEX('Raw Data'!$E$4:$E$203,A193-4+1),"")</f>
        <v/>
      </c>
      <c r="G193" s="110" t="str">
        <f>IF(A193&lt;&gt;"",INDEX('Raw Data'!$H$4:$H$203,A193-4+1),"")</f>
        <v/>
      </c>
      <c r="H193" s="111" t="str">
        <f>IF(A193&lt;&gt;"",INDEX('Raw Data'!$I$4:$I$203,A193-4+1),"")</f>
        <v/>
      </c>
      <c r="I193" s="112" t="str">
        <f>IF(A193&lt;&gt;"",INDEX('Raw Data'!$O$4:$O$203,A193-4+1),"")</f>
        <v/>
      </c>
      <c r="J193" s="113" t="str">
        <f>IF(A193&lt;&gt;"",IF(INDEX('Raw Data'!$D$4:$D$203,A193-4+1)&lt;&gt;"",INDEX('Raw Data'!$P$4:$P$203,A193-4+1),INDEX('Raw Data'!$R$4:$R$203,A193-4+1)),"")</f>
        <v/>
      </c>
      <c r="K193" s="114" t="str">
        <f>IF(A193&lt;&gt;"",IF(INDEX('Raw Data'!$Q$4:$Q$203,A193-4+1)&lt;&gt;"",INDEX('Raw Data'!$Q$4:$Q$203,A193-4+1),""),"")</f>
        <v/>
      </c>
      <c r="L193" s="114" t="str">
        <f t="shared" si="3"/>
        <v/>
      </c>
      <c r="M193" s="145">
        <f t="shared" si="4"/>
        <v>0</v>
      </c>
      <c r="N193" s="141"/>
      <c r="O193" s="142">
        <v>1</v>
      </c>
      <c r="P193" s="143">
        <f>IF(N193="",0,M193*Config!$C$25*O193)</f>
        <v>0</v>
      </c>
      <c r="Q193" s="141"/>
      <c r="R193" s="142">
        <v>0</v>
      </c>
      <c r="S193" s="143">
        <f>IF(Q193="",0,M193*Config!$C$25*R193)</f>
        <v>0</v>
      </c>
      <c r="T193" s="141"/>
      <c r="U193" s="142">
        <v>0</v>
      </c>
      <c r="V193" s="143">
        <f>IF(T193="",0,M193*Config!$C$25*U193)</f>
        <v>0</v>
      </c>
      <c r="W193" s="107" t="str">
        <f t="shared" si="5"/>
        <v/>
      </c>
    </row>
    <row r="194" spans="1:23" ht="18" customHeight="1" x14ac:dyDescent="0.45">
      <c r="A194" s="83"/>
      <c r="B194" s="84" t="str">
        <f>IF(A194&lt;&gt;"",INDEX('Raw Data'!$A$4:$A$203,A194-4+1),"")</f>
        <v/>
      </c>
      <c r="C194" s="84" t="str">
        <f>IF(A194&lt;&gt;"",INDEX('Raw Data'!$B$4:$B$203,A194-4+1),"")</f>
        <v/>
      </c>
      <c r="D194" s="84" t="str">
        <f>IF(A194&lt;&gt;"",INDEX('Raw Data'!$C$4:$C$203,A194-4+1),"")</f>
        <v/>
      </c>
      <c r="E194" s="51" t="str">
        <f>IF(A194&lt;&gt;"",INDEX('Raw Data'!$D$4:$D$203,A194-4+1),"")</f>
        <v/>
      </c>
      <c r="F194" s="84" t="str">
        <f>IF(A194&lt;&gt;"",INDEX('Raw Data'!$E$4:$E$203,A194-4+1),"")</f>
        <v/>
      </c>
      <c r="G194" s="85" t="str">
        <f>IF(A194&lt;&gt;"",INDEX('Raw Data'!$H$4:$H$203,A194-4+1),"")</f>
        <v/>
      </c>
      <c r="H194" s="86" t="str">
        <f>IF(A194&lt;&gt;"",INDEX('Raw Data'!$I$4:$I$203,A194-4+1),"")</f>
        <v/>
      </c>
      <c r="I194" s="87" t="str">
        <f>IF(A194&lt;&gt;"",INDEX('Raw Data'!$O$4:$O$203,A194-4+1),"")</f>
        <v/>
      </c>
      <c r="J194" s="88" t="str">
        <f>IF(A194&lt;&gt;"",IF(INDEX('Raw Data'!$D$4:$D$203,A194-4+1)&lt;&gt;"",INDEX('Raw Data'!$P$4:$P$203,A194-4+1),INDEX('Raw Data'!$R$4:$R$203,A194-4+1)),"")</f>
        <v/>
      </c>
      <c r="K194" s="89" t="str">
        <f>IF(A194&lt;&gt;"",IF(INDEX('Raw Data'!$Q$4:$Q$203,A194-4+1)&lt;&gt;"",INDEX('Raw Data'!$Q$4:$Q$203,A194-4+1),""),"")</f>
        <v/>
      </c>
      <c r="L194" s="89" t="str">
        <f t="shared" si="3"/>
        <v/>
      </c>
      <c r="M194" s="144">
        <f t="shared" si="4"/>
        <v>0</v>
      </c>
      <c r="N194" s="138"/>
      <c r="O194" s="139">
        <v>1</v>
      </c>
      <c r="P194" s="140">
        <f>IF(N194="",0,M194*Config!$C$25*O194)</f>
        <v>0</v>
      </c>
      <c r="Q194" s="138"/>
      <c r="R194" s="139">
        <v>0</v>
      </c>
      <c r="S194" s="140">
        <f>IF(Q194="",0,M194*Config!$C$25*R194)</f>
        <v>0</v>
      </c>
      <c r="T194" s="138"/>
      <c r="U194" s="139">
        <v>0</v>
      </c>
      <c r="V194" s="140">
        <f>IF(T194="",0,M194*Config!$C$25*U194)</f>
        <v>0</v>
      </c>
      <c r="W194" s="107" t="str">
        <f t="shared" si="5"/>
        <v/>
      </c>
    </row>
    <row r="195" spans="1:23" ht="18" customHeight="1" x14ac:dyDescent="0.45">
      <c r="A195" s="83"/>
      <c r="B195" s="46" t="str">
        <f>IF(A195&lt;&gt;"",INDEX('Raw Data'!$A$4:$A$203,A195-4+1),"")</f>
        <v/>
      </c>
      <c r="C195" s="46" t="str">
        <f>IF(A195&lt;&gt;"",INDEX('Raw Data'!$B$4:$B$203,A195-4+1),"")</f>
        <v/>
      </c>
      <c r="D195" s="46" t="str">
        <f>IF(A195&lt;&gt;"",INDEX('Raw Data'!$C$4:$C$203,A195-4+1),"")</f>
        <v/>
      </c>
      <c r="E195" s="109" t="str">
        <f>IF(A195&lt;&gt;"",INDEX('Raw Data'!$D$4:$D$203,A195-4+1),"")</f>
        <v/>
      </c>
      <c r="F195" s="46" t="str">
        <f>IF(A195&lt;&gt;"",INDEX('Raw Data'!$E$4:$E$203,A195-4+1),"")</f>
        <v/>
      </c>
      <c r="G195" s="110" t="str">
        <f>IF(A195&lt;&gt;"",INDEX('Raw Data'!$H$4:$H$203,A195-4+1),"")</f>
        <v/>
      </c>
      <c r="H195" s="111" t="str">
        <f>IF(A195&lt;&gt;"",INDEX('Raw Data'!$I$4:$I$203,A195-4+1),"")</f>
        <v/>
      </c>
      <c r="I195" s="112" t="str">
        <f>IF(A195&lt;&gt;"",INDEX('Raw Data'!$O$4:$O$203,A195-4+1),"")</f>
        <v/>
      </c>
      <c r="J195" s="113" t="str">
        <f>IF(A195&lt;&gt;"",IF(INDEX('Raw Data'!$D$4:$D$203,A195-4+1)&lt;&gt;"",INDEX('Raw Data'!$P$4:$P$203,A195-4+1),INDEX('Raw Data'!$R$4:$R$203,A195-4+1)),"")</f>
        <v/>
      </c>
      <c r="K195" s="114" t="str">
        <f>IF(A195&lt;&gt;"",IF(INDEX('Raw Data'!$Q$4:$Q$203,A195-4+1)&lt;&gt;"",INDEX('Raw Data'!$Q$4:$Q$203,A195-4+1),""),"")</f>
        <v/>
      </c>
      <c r="L195" s="114" t="str">
        <f t="shared" si="3"/>
        <v/>
      </c>
      <c r="M195" s="145">
        <f t="shared" si="4"/>
        <v>0</v>
      </c>
      <c r="N195" s="141"/>
      <c r="O195" s="142">
        <v>1</v>
      </c>
      <c r="P195" s="143">
        <f>IF(N195="",0,M195*Config!$C$25*O195)</f>
        <v>0</v>
      </c>
      <c r="Q195" s="141"/>
      <c r="R195" s="142">
        <v>0</v>
      </c>
      <c r="S195" s="143">
        <f>IF(Q195="",0,M195*Config!$C$25*R195)</f>
        <v>0</v>
      </c>
      <c r="T195" s="141"/>
      <c r="U195" s="142">
        <v>0</v>
      </c>
      <c r="V195" s="143">
        <f>IF(T195="",0,M195*Config!$C$25*U195)</f>
        <v>0</v>
      </c>
      <c r="W195" s="107" t="str">
        <f t="shared" si="5"/>
        <v/>
      </c>
    </row>
    <row r="196" spans="1:23" ht="18" customHeight="1" x14ac:dyDescent="0.45">
      <c r="A196" s="83"/>
      <c r="B196" s="84" t="str">
        <f>IF(A196&lt;&gt;"",INDEX('Raw Data'!$A$4:$A$203,A196-4+1),"")</f>
        <v/>
      </c>
      <c r="C196" s="84" t="str">
        <f>IF(A196&lt;&gt;"",INDEX('Raw Data'!$B$4:$B$203,A196-4+1),"")</f>
        <v/>
      </c>
      <c r="D196" s="84" t="str">
        <f>IF(A196&lt;&gt;"",INDEX('Raw Data'!$C$4:$C$203,A196-4+1),"")</f>
        <v/>
      </c>
      <c r="E196" s="51" t="str">
        <f>IF(A196&lt;&gt;"",INDEX('Raw Data'!$D$4:$D$203,A196-4+1),"")</f>
        <v/>
      </c>
      <c r="F196" s="84" t="str">
        <f>IF(A196&lt;&gt;"",INDEX('Raw Data'!$E$4:$E$203,A196-4+1),"")</f>
        <v/>
      </c>
      <c r="G196" s="85" t="str">
        <f>IF(A196&lt;&gt;"",INDEX('Raw Data'!$H$4:$H$203,A196-4+1),"")</f>
        <v/>
      </c>
      <c r="H196" s="86" t="str">
        <f>IF(A196&lt;&gt;"",INDEX('Raw Data'!$I$4:$I$203,A196-4+1),"")</f>
        <v/>
      </c>
      <c r="I196" s="87" t="str">
        <f>IF(A196&lt;&gt;"",INDEX('Raw Data'!$O$4:$O$203,A196-4+1),"")</f>
        <v/>
      </c>
      <c r="J196" s="88" t="str">
        <f>IF(A196&lt;&gt;"",IF(INDEX('Raw Data'!$D$4:$D$203,A196-4+1)&lt;&gt;"",INDEX('Raw Data'!$P$4:$P$203,A196-4+1),INDEX('Raw Data'!$R$4:$R$203,A196-4+1)),"")</f>
        <v/>
      </c>
      <c r="K196" s="89" t="str">
        <f>IF(A196&lt;&gt;"",IF(INDEX('Raw Data'!$Q$4:$Q$203,A196-4+1)&lt;&gt;"",INDEX('Raw Data'!$Q$4:$Q$203,A196-4+1),""),"")</f>
        <v/>
      </c>
      <c r="L196" s="89" t="str">
        <f t="shared" si="3"/>
        <v/>
      </c>
      <c r="M196" s="144">
        <f t="shared" si="4"/>
        <v>0</v>
      </c>
      <c r="N196" s="138"/>
      <c r="O196" s="139">
        <v>1</v>
      </c>
      <c r="P196" s="140">
        <f>IF(N196="",0,M196*Config!$C$25*O196)</f>
        <v>0</v>
      </c>
      <c r="Q196" s="138"/>
      <c r="R196" s="139">
        <v>0</v>
      </c>
      <c r="S196" s="140">
        <f>IF(Q196="",0,M196*Config!$C$25*R196)</f>
        <v>0</v>
      </c>
      <c r="T196" s="138"/>
      <c r="U196" s="139">
        <v>0</v>
      </c>
      <c r="V196" s="140">
        <f>IF(T196="",0,M196*Config!$C$25*U196)</f>
        <v>0</v>
      </c>
      <c r="W196" s="107" t="str">
        <f t="shared" si="5"/>
        <v/>
      </c>
    </row>
    <row r="197" spans="1:23" ht="18" customHeight="1" x14ac:dyDescent="0.45">
      <c r="A197" s="83"/>
      <c r="B197" s="46" t="str">
        <f>IF(A197&lt;&gt;"",INDEX('Raw Data'!$A$4:$A$203,A197-4+1),"")</f>
        <v/>
      </c>
      <c r="C197" s="46" t="str">
        <f>IF(A197&lt;&gt;"",INDEX('Raw Data'!$B$4:$B$203,A197-4+1),"")</f>
        <v/>
      </c>
      <c r="D197" s="46" t="str">
        <f>IF(A197&lt;&gt;"",INDEX('Raw Data'!$C$4:$C$203,A197-4+1),"")</f>
        <v/>
      </c>
      <c r="E197" s="109" t="str">
        <f>IF(A197&lt;&gt;"",INDEX('Raw Data'!$D$4:$D$203,A197-4+1),"")</f>
        <v/>
      </c>
      <c r="F197" s="46" t="str">
        <f>IF(A197&lt;&gt;"",INDEX('Raw Data'!$E$4:$E$203,A197-4+1),"")</f>
        <v/>
      </c>
      <c r="G197" s="110" t="str">
        <f>IF(A197&lt;&gt;"",INDEX('Raw Data'!$H$4:$H$203,A197-4+1),"")</f>
        <v/>
      </c>
      <c r="H197" s="111" t="str">
        <f>IF(A197&lt;&gt;"",INDEX('Raw Data'!$I$4:$I$203,A197-4+1),"")</f>
        <v/>
      </c>
      <c r="I197" s="112" t="str">
        <f>IF(A197&lt;&gt;"",INDEX('Raw Data'!$O$4:$O$203,A197-4+1),"")</f>
        <v/>
      </c>
      <c r="J197" s="113" t="str">
        <f>IF(A197&lt;&gt;"",IF(INDEX('Raw Data'!$D$4:$D$203,A197-4+1)&lt;&gt;"",INDEX('Raw Data'!$P$4:$P$203,A197-4+1),INDEX('Raw Data'!$R$4:$R$203,A197-4+1)),"")</f>
        <v/>
      </c>
      <c r="K197" s="114" t="str">
        <f>IF(A197&lt;&gt;"",IF(INDEX('Raw Data'!$Q$4:$Q$203,A197-4+1)&lt;&gt;"",INDEX('Raw Data'!$Q$4:$Q$203,A197-4+1),""),"")</f>
        <v/>
      </c>
      <c r="L197" s="114" t="str">
        <f t="shared" si="3"/>
        <v/>
      </c>
      <c r="M197" s="145">
        <f t="shared" si="4"/>
        <v>0</v>
      </c>
      <c r="N197" s="141"/>
      <c r="O197" s="142">
        <v>1</v>
      </c>
      <c r="P197" s="143">
        <f>IF(N197="",0,M197*Config!$C$25*O197)</f>
        <v>0</v>
      </c>
      <c r="Q197" s="141"/>
      <c r="R197" s="142">
        <v>0</v>
      </c>
      <c r="S197" s="143">
        <f>IF(Q197="",0,M197*Config!$C$25*R197)</f>
        <v>0</v>
      </c>
      <c r="T197" s="141"/>
      <c r="U197" s="142">
        <v>0</v>
      </c>
      <c r="V197" s="143">
        <f>IF(T197="",0,M197*Config!$C$25*U197)</f>
        <v>0</v>
      </c>
      <c r="W197" s="107" t="str">
        <f t="shared" si="5"/>
        <v/>
      </c>
    </row>
    <row r="198" spans="1:23" ht="18" customHeight="1" x14ac:dyDescent="0.45">
      <c r="A198" s="83"/>
      <c r="B198" s="84" t="str">
        <f>IF(A198&lt;&gt;"",INDEX('Raw Data'!$A$4:$A$203,A198-4+1),"")</f>
        <v/>
      </c>
      <c r="C198" s="84" t="str">
        <f>IF(A198&lt;&gt;"",INDEX('Raw Data'!$B$4:$B$203,A198-4+1),"")</f>
        <v/>
      </c>
      <c r="D198" s="84" t="str">
        <f>IF(A198&lt;&gt;"",INDEX('Raw Data'!$C$4:$C$203,A198-4+1),"")</f>
        <v/>
      </c>
      <c r="E198" s="51" t="str">
        <f>IF(A198&lt;&gt;"",INDEX('Raw Data'!$D$4:$D$203,A198-4+1),"")</f>
        <v/>
      </c>
      <c r="F198" s="84" t="str">
        <f>IF(A198&lt;&gt;"",INDEX('Raw Data'!$E$4:$E$203,A198-4+1),"")</f>
        <v/>
      </c>
      <c r="G198" s="85" t="str">
        <f>IF(A198&lt;&gt;"",INDEX('Raw Data'!$H$4:$H$203,A198-4+1),"")</f>
        <v/>
      </c>
      <c r="H198" s="86" t="str">
        <f>IF(A198&lt;&gt;"",INDEX('Raw Data'!$I$4:$I$203,A198-4+1),"")</f>
        <v/>
      </c>
      <c r="I198" s="87" t="str">
        <f>IF(A198&lt;&gt;"",INDEX('Raw Data'!$O$4:$O$203,A198-4+1),"")</f>
        <v/>
      </c>
      <c r="J198" s="88" t="str">
        <f>IF(A198&lt;&gt;"",IF(INDEX('Raw Data'!$D$4:$D$203,A198-4+1)&lt;&gt;"",INDEX('Raw Data'!$P$4:$P$203,A198-4+1),INDEX('Raw Data'!$R$4:$R$203,A198-4+1)),"")</f>
        <v/>
      </c>
      <c r="K198" s="89" t="str">
        <f>IF(A198&lt;&gt;"",IF(INDEX('Raw Data'!$Q$4:$Q$203,A198-4+1)&lt;&gt;"",INDEX('Raw Data'!$Q$4:$Q$203,A198-4+1),""),"")</f>
        <v/>
      </c>
      <c r="L198" s="89" t="str">
        <f t="shared" si="3"/>
        <v/>
      </c>
      <c r="M198" s="144">
        <f t="shared" si="4"/>
        <v>0</v>
      </c>
      <c r="N198" s="138"/>
      <c r="O198" s="139">
        <v>1</v>
      </c>
      <c r="P198" s="140">
        <f>IF(N198="",0,M198*Config!$C$25*O198)</f>
        <v>0</v>
      </c>
      <c r="Q198" s="138"/>
      <c r="R198" s="139">
        <v>0</v>
      </c>
      <c r="S198" s="140">
        <f>IF(Q198="",0,M198*Config!$C$25*R198)</f>
        <v>0</v>
      </c>
      <c r="T198" s="138"/>
      <c r="U198" s="139">
        <v>0</v>
      </c>
      <c r="V198" s="140">
        <f>IF(T198="",0,M198*Config!$C$25*U198)</f>
        <v>0</v>
      </c>
      <c r="W198" s="107" t="str">
        <f t="shared" si="5"/>
        <v/>
      </c>
    </row>
    <row r="199" spans="1:23" ht="18" customHeight="1" x14ac:dyDescent="0.45">
      <c r="A199" s="83"/>
      <c r="B199" s="46" t="str">
        <f>IF(A199&lt;&gt;"",INDEX('Raw Data'!$A$4:$A$203,A199-4+1),"")</f>
        <v/>
      </c>
      <c r="C199" s="46" t="str">
        <f>IF(A199&lt;&gt;"",INDEX('Raw Data'!$B$4:$B$203,A199-4+1),"")</f>
        <v/>
      </c>
      <c r="D199" s="46" t="str">
        <f>IF(A199&lt;&gt;"",INDEX('Raw Data'!$C$4:$C$203,A199-4+1),"")</f>
        <v/>
      </c>
      <c r="E199" s="109" t="str">
        <f>IF(A199&lt;&gt;"",INDEX('Raw Data'!$D$4:$D$203,A199-4+1),"")</f>
        <v/>
      </c>
      <c r="F199" s="46" t="str">
        <f>IF(A199&lt;&gt;"",INDEX('Raw Data'!$E$4:$E$203,A199-4+1),"")</f>
        <v/>
      </c>
      <c r="G199" s="110" t="str">
        <f>IF(A199&lt;&gt;"",INDEX('Raw Data'!$H$4:$H$203,A199-4+1),"")</f>
        <v/>
      </c>
      <c r="H199" s="111" t="str">
        <f>IF(A199&lt;&gt;"",INDEX('Raw Data'!$I$4:$I$203,A199-4+1),"")</f>
        <v/>
      </c>
      <c r="I199" s="112" t="str">
        <f>IF(A199&lt;&gt;"",INDEX('Raw Data'!$O$4:$O$203,A199-4+1),"")</f>
        <v/>
      </c>
      <c r="J199" s="113" t="str">
        <f>IF(A199&lt;&gt;"",IF(INDEX('Raw Data'!$D$4:$D$203,A199-4+1)&lt;&gt;"",INDEX('Raw Data'!$P$4:$P$203,A199-4+1),INDEX('Raw Data'!$R$4:$R$203,A199-4+1)),"")</f>
        <v/>
      </c>
      <c r="K199" s="114" t="str">
        <f>IF(A199&lt;&gt;"",IF(INDEX('Raw Data'!$Q$4:$Q$203,A199-4+1)&lt;&gt;"",INDEX('Raw Data'!$Q$4:$Q$203,A199-4+1),""),"")</f>
        <v/>
      </c>
      <c r="L199" s="114" t="str">
        <f t="shared" si="3"/>
        <v/>
      </c>
      <c r="M199" s="145">
        <f t="shared" si="4"/>
        <v>0</v>
      </c>
      <c r="N199" s="141"/>
      <c r="O199" s="142">
        <v>1</v>
      </c>
      <c r="P199" s="143">
        <f>IF(N199="",0,M199*Config!$C$25*O199)</f>
        <v>0</v>
      </c>
      <c r="Q199" s="141"/>
      <c r="R199" s="142">
        <v>0</v>
      </c>
      <c r="S199" s="143">
        <f>IF(Q199="",0,M199*Config!$C$25*R199)</f>
        <v>0</v>
      </c>
      <c r="T199" s="141"/>
      <c r="U199" s="142">
        <v>0</v>
      </c>
      <c r="V199" s="143">
        <f>IF(T199="",0,M199*Config!$C$25*U199)</f>
        <v>0</v>
      </c>
      <c r="W199" s="107" t="str">
        <f t="shared" si="5"/>
        <v/>
      </c>
    </row>
    <row r="200" spans="1:23" ht="18" customHeight="1" x14ac:dyDescent="0.45">
      <c r="A200" s="83"/>
      <c r="B200" s="84" t="str">
        <f>IF(A200&lt;&gt;"",INDEX('Raw Data'!$A$4:$A$203,A200-4+1),"")</f>
        <v/>
      </c>
      <c r="C200" s="84" t="str">
        <f>IF(A200&lt;&gt;"",INDEX('Raw Data'!$B$4:$B$203,A200-4+1),"")</f>
        <v/>
      </c>
      <c r="D200" s="84" t="str">
        <f>IF(A200&lt;&gt;"",INDEX('Raw Data'!$C$4:$C$203,A200-4+1),"")</f>
        <v/>
      </c>
      <c r="E200" s="51" t="str">
        <f>IF(A200&lt;&gt;"",INDEX('Raw Data'!$D$4:$D$203,A200-4+1),"")</f>
        <v/>
      </c>
      <c r="F200" s="84" t="str">
        <f>IF(A200&lt;&gt;"",INDEX('Raw Data'!$E$4:$E$203,A200-4+1),"")</f>
        <v/>
      </c>
      <c r="G200" s="85" t="str">
        <f>IF(A200&lt;&gt;"",INDEX('Raw Data'!$H$4:$H$203,A200-4+1),"")</f>
        <v/>
      </c>
      <c r="H200" s="86" t="str">
        <f>IF(A200&lt;&gt;"",INDEX('Raw Data'!$I$4:$I$203,A200-4+1),"")</f>
        <v/>
      </c>
      <c r="I200" s="87" t="str">
        <f>IF(A200&lt;&gt;"",INDEX('Raw Data'!$O$4:$O$203,A200-4+1),"")</f>
        <v/>
      </c>
      <c r="J200" s="88" t="str">
        <f>IF(A200&lt;&gt;"",IF(INDEX('Raw Data'!$D$4:$D$203,A200-4+1)&lt;&gt;"",INDEX('Raw Data'!$P$4:$P$203,A200-4+1),INDEX('Raw Data'!$R$4:$R$203,A200-4+1)),"")</f>
        <v/>
      </c>
      <c r="K200" s="89" t="str">
        <f>IF(A200&lt;&gt;"",IF(INDEX('Raw Data'!$Q$4:$Q$203,A200-4+1)&lt;&gt;"",INDEX('Raw Data'!$Q$4:$Q$203,A200-4+1),""),"")</f>
        <v/>
      </c>
      <c r="L200" s="89" t="str">
        <f t="shared" si="3"/>
        <v/>
      </c>
      <c r="M200" s="144">
        <f t="shared" si="4"/>
        <v>0</v>
      </c>
      <c r="N200" s="138"/>
      <c r="O200" s="139">
        <v>1</v>
      </c>
      <c r="P200" s="140">
        <f>IF(N200="",0,M200*Config!$C$25*O200)</f>
        <v>0</v>
      </c>
      <c r="Q200" s="138"/>
      <c r="R200" s="139">
        <v>0</v>
      </c>
      <c r="S200" s="140">
        <f>IF(Q200="",0,M200*Config!$C$25*R200)</f>
        <v>0</v>
      </c>
      <c r="T200" s="138"/>
      <c r="U200" s="139">
        <v>0</v>
      </c>
      <c r="V200" s="140">
        <f>IF(T200="",0,M200*Config!$C$25*U200)</f>
        <v>0</v>
      </c>
      <c r="W200" s="107" t="str">
        <f t="shared" si="5"/>
        <v/>
      </c>
    </row>
    <row r="201" spans="1:23" ht="18" customHeight="1" x14ac:dyDescent="0.45">
      <c r="A201" s="83"/>
      <c r="B201" s="46" t="str">
        <f>IF(A201&lt;&gt;"",INDEX('Raw Data'!$A$4:$A$203,A201-4+1),"")</f>
        <v/>
      </c>
      <c r="C201" s="46" t="str">
        <f>IF(A201&lt;&gt;"",INDEX('Raw Data'!$B$4:$B$203,A201-4+1),"")</f>
        <v/>
      </c>
      <c r="D201" s="46" t="str">
        <f>IF(A201&lt;&gt;"",INDEX('Raw Data'!$C$4:$C$203,A201-4+1),"")</f>
        <v/>
      </c>
      <c r="E201" s="109" t="str">
        <f>IF(A201&lt;&gt;"",INDEX('Raw Data'!$D$4:$D$203,A201-4+1),"")</f>
        <v/>
      </c>
      <c r="F201" s="46" t="str">
        <f>IF(A201&lt;&gt;"",INDEX('Raw Data'!$E$4:$E$203,A201-4+1),"")</f>
        <v/>
      </c>
      <c r="G201" s="110" t="str">
        <f>IF(A201&lt;&gt;"",INDEX('Raw Data'!$H$4:$H$203,A201-4+1),"")</f>
        <v/>
      </c>
      <c r="H201" s="111" t="str">
        <f>IF(A201&lt;&gt;"",INDEX('Raw Data'!$I$4:$I$203,A201-4+1),"")</f>
        <v/>
      </c>
      <c r="I201" s="112" t="str">
        <f>IF(A201&lt;&gt;"",INDEX('Raw Data'!$O$4:$O$203,A201-4+1),"")</f>
        <v/>
      </c>
      <c r="J201" s="113" t="str">
        <f>IF(A201&lt;&gt;"",IF(INDEX('Raw Data'!$D$4:$D$203,A201-4+1)&lt;&gt;"",INDEX('Raw Data'!$P$4:$P$203,A201-4+1),INDEX('Raw Data'!$R$4:$R$203,A201-4+1)),"")</f>
        <v/>
      </c>
      <c r="K201" s="114" t="str">
        <f>IF(A201&lt;&gt;"",IF(INDEX('Raw Data'!$Q$4:$Q$203,A201-4+1)&lt;&gt;"",INDEX('Raw Data'!$Q$4:$Q$203,A201-4+1),""),"")</f>
        <v/>
      </c>
      <c r="L201" s="114" t="str">
        <f t="shared" si="3"/>
        <v/>
      </c>
      <c r="M201" s="145">
        <f t="shared" si="4"/>
        <v>0</v>
      </c>
      <c r="N201" s="141"/>
      <c r="O201" s="142">
        <v>1</v>
      </c>
      <c r="P201" s="143">
        <f>IF(N201="",0,M201*Config!$C$25*O201)</f>
        <v>0</v>
      </c>
      <c r="Q201" s="141"/>
      <c r="R201" s="142">
        <v>0</v>
      </c>
      <c r="S201" s="143">
        <f>IF(Q201="",0,M201*Config!$C$25*R201)</f>
        <v>0</v>
      </c>
      <c r="T201" s="141"/>
      <c r="U201" s="142">
        <v>0</v>
      </c>
      <c r="V201" s="143">
        <f>IF(T201="",0,M201*Config!$C$25*U201)</f>
        <v>0</v>
      </c>
      <c r="W201" s="107" t="str">
        <f t="shared" si="5"/>
        <v/>
      </c>
    </row>
    <row r="202" spans="1:23" ht="18" customHeight="1" x14ac:dyDescent="0.45">
      <c r="A202" s="83"/>
      <c r="B202" s="84" t="str">
        <f>IF(A202&lt;&gt;"",INDEX('Raw Data'!$A$4:$A$203,A202-4+1),"")</f>
        <v/>
      </c>
      <c r="C202" s="84" t="str">
        <f>IF(A202&lt;&gt;"",INDEX('Raw Data'!$B$4:$B$203,A202-4+1),"")</f>
        <v/>
      </c>
      <c r="D202" s="84" t="str">
        <f>IF(A202&lt;&gt;"",INDEX('Raw Data'!$C$4:$C$203,A202-4+1),"")</f>
        <v/>
      </c>
      <c r="E202" s="51" t="str">
        <f>IF(A202&lt;&gt;"",INDEX('Raw Data'!$D$4:$D$203,A202-4+1),"")</f>
        <v/>
      </c>
      <c r="F202" s="84" t="str">
        <f>IF(A202&lt;&gt;"",INDEX('Raw Data'!$E$4:$E$203,A202-4+1),"")</f>
        <v/>
      </c>
      <c r="G202" s="85" t="str">
        <f>IF(A202&lt;&gt;"",INDEX('Raw Data'!$H$4:$H$203,A202-4+1),"")</f>
        <v/>
      </c>
      <c r="H202" s="86" t="str">
        <f>IF(A202&lt;&gt;"",INDEX('Raw Data'!$I$4:$I$203,A202-4+1),"")</f>
        <v/>
      </c>
      <c r="I202" s="87" t="str">
        <f>IF(A202&lt;&gt;"",INDEX('Raw Data'!$O$4:$O$203,A202-4+1),"")</f>
        <v/>
      </c>
      <c r="J202" s="88" t="str">
        <f>IF(A202&lt;&gt;"",IF(INDEX('Raw Data'!$D$4:$D$203,A202-4+1)&lt;&gt;"",INDEX('Raw Data'!$P$4:$P$203,A202-4+1),INDEX('Raw Data'!$R$4:$R$203,A202-4+1)),"")</f>
        <v/>
      </c>
      <c r="K202" s="89" t="str">
        <f>IF(A202&lt;&gt;"",IF(INDEX('Raw Data'!$Q$4:$Q$203,A202-4+1)&lt;&gt;"",INDEX('Raw Data'!$Q$4:$Q$203,A202-4+1),""),"")</f>
        <v/>
      </c>
      <c r="L202" s="89" t="str">
        <f t="shared" si="3"/>
        <v/>
      </c>
      <c r="M202" s="144">
        <f t="shared" si="4"/>
        <v>0</v>
      </c>
      <c r="N202" s="138"/>
      <c r="O202" s="139">
        <v>1</v>
      </c>
      <c r="P202" s="140">
        <f>IF(N202="",0,M202*Config!$C$25*O202)</f>
        <v>0</v>
      </c>
      <c r="Q202" s="138"/>
      <c r="R202" s="139">
        <v>0</v>
      </c>
      <c r="S202" s="140">
        <f>IF(Q202="",0,M202*Config!$C$25*R202)</f>
        <v>0</v>
      </c>
      <c r="T202" s="138"/>
      <c r="U202" s="139">
        <v>0</v>
      </c>
      <c r="V202" s="140">
        <f>IF(T202="",0,M202*Config!$C$25*U202)</f>
        <v>0</v>
      </c>
      <c r="W202" s="107" t="str">
        <f t="shared" si="5"/>
        <v/>
      </c>
    </row>
    <row r="203" spans="1:23" ht="18" customHeight="1" x14ac:dyDescent="0.45">
      <c r="A203" s="83"/>
      <c r="B203" s="46" t="str">
        <f>IF(A203&lt;&gt;"",INDEX('Raw Data'!$A$4:$A$203,A203-4+1),"")</f>
        <v/>
      </c>
      <c r="C203" s="46" t="str">
        <f>IF(A203&lt;&gt;"",INDEX('Raw Data'!$B$4:$B$203,A203-4+1),"")</f>
        <v/>
      </c>
      <c r="D203" s="46" t="str">
        <f>IF(A203&lt;&gt;"",INDEX('Raw Data'!$C$4:$C$203,A203-4+1),"")</f>
        <v/>
      </c>
      <c r="E203" s="109" t="str">
        <f>IF(A203&lt;&gt;"",INDEX('Raw Data'!$D$4:$D$203,A203-4+1),"")</f>
        <v/>
      </c>
      <c r="F203" s="46" t="str">
        <f>IF(A203&lt;&gt;"",INDEX('Raw Data'!$E$4:$E$203,A203-4+1),"")</f>
        <v/>
      </c>
      <c r="G203" s="110" t="str">
        <f>IF(A203&lt;&gt;"",INDEX('Raw Data'!$H$4:$H$203,A203-4+1),"")</f>
        <v/>
      </c>
      <c r="H203" s="111" t="str">
        <f>IF(A203&lt;&gt;"",INDEX('Raw Data'!$I$4:$I$203,A203-4+1),"")</f>
        <v/>
      </c>
      <c r="I203" s="112" t="str">
        <f>IF(A203&lt;&gt;"",INDEX('Raw Data'!$O$4:$O$203,A203-4+1),"")</f>
        <v/>
      </c>
      <c r="J203" s="113" t="str">
        <f>IF(A203&lt;&gt;"",IF(INDEX('Raw Data'!$D$4:$D$203,A203-4+1)&lt;&gt;"",INDEX('Raw Data'!$P$4:$P$203,A203-4+1),INDEX('Raw Data'!$R$4:$R$203,A203-4+1)),"")</f>
        <v/>
      </c>
      <c r="K203" s="114" t="str">
        <f>IF(A203&lt;&gt;"",IF(INDEX('Raw Data'!$Q$4:$Q$203,A203-4+1)&lt;&gt;"",INDEX('Raw Data'!$Q$4:$Q$203,A203-4+1),""),"")</f>
        <v/>
      </c>
      <c r="L203" s="114" t="str">
        <f t="shared" si="3"/>
        <v/>
      </c>
      <c r="M203" s="145">
        <f t="shared" si="4"/>
        <v>0</v>
      </c>
      <c r="N203" s="141"/>
      <c r="O203" s="142">
        <v>1</v>
      </c>
      <c r="P203" s="143">
        <f>IF(N203="",0,M203*Config!$C$25*O203)</f>
        <v>0</v>
      </c>
      <c r="Q203" s="141"/>
      <c r="R203" s="142">
        <v>0</v>
      </c>
      <c r="S203" s="143">
        <f>IF(Q203="",0,M203*Config!$C$25*R203)</f>
        <v>0</v>
      </c>
      <c r="T203" s="141"/>
      <c r="U203" s="142">
        <v>0</v>
      </c>
      <c r="V203" s="143">
        <f>IF(T203="",0,M203*Config!$C$25*U203)</f>
        <v>0</v>
      </c>
      <c r="W203" s="107" t="str">
        <f t="shared" si="5"/>
        <v/>
      </c>
    </row>
    <row r="204" spans="1:23" ht="18" customHeight="1" x14ac:dyDescent="0.45">
      <c r="A204" s="83"/>
      <c r="B204" s="84" t="str">
        <f>IF(A204&lt;&gt;"",INDEX('Raw Data'!$A$4:$A$203,A204-4+1),"")</f>
        <v/>
      </c>
      <c r="C204" s="84" t="str">
        <f>IF(A204&lt;&gt;"",INDEX('Raw Data'!$B$4:$B$203,A204-4+1),"")</f>
        <v/>
      </c>
      <c r="D204" s="84" t="str">
        <f>IF(A204&lt;&gt;"",INDEX('Raw Data'!$C$4:$C$203,A204-4+1),"")</f>
        <v/>
      </c>
      <c r="E204" s="51" t="str">
        <f>IF(A204&lt;&gt;"",INDEX('Raw Data'!$D$4:$D$203,A204-4+1),"")</f>
        <v/>
      </c>
      <c r="F204" s="84" t="str">
        <f>IF(A204&lt;&gt;"",INDEX('Raw Data'!$E$4:$E$203,A204-4+1),"")</f>
        <v/>
      </c>
      <c r="G204" s="85" t="str">
        <f>IF(A204&lt;&gt;"",INDEX('Raw Data'!$H$4:$H$203,A204-4+1),"")</f>
        <v/>
      </c>
      <c r="H204" s="86" t="str">
        <f>IF(A204&lt;&gt;"",INDEX('Raw Data'!$I$4:$I$203,A204-4+1),"")</f>
        <v/>
      </c>
      <c r="I204" s="87" t="str">
        <f>IF(A204&lt;&gt;"",INDEX('Raw Data'!$O$4:$O$203,A204-4+1),"")</f>
        <v/>
      </c>
      <c r="J204" s="88" t="str">
        <f>IF(A204&lt;&gt;"",IF(INDEX('Raw Data'!$D$4:$D$203,A204-4+1)&lt;&gt;"",INDEX('Raw Data'!$P$4:$P$203,A204-4+1),INDEX('Raw Data'!$R$4:$R$203,A204-4+1)),"")</f>
        <v/>
      </c>
      <c r="K204" s="89" t="str">
        <f>IF(A204&lt;&gt;"",IF(INDEX('Raw Data'!$Q$4:$Q$203,A204-4+1)&lt;&gt;"",INDEX('Raw Data'!$Q$4:$Q$203,A204-4+1),""),"")</f>
        <v/>
      </c>
      <c r="L204" s="89" t="str">
        <f t="shared" si="3"/>
        <v/>
      </c>
      <c r="M204" s="144">
        <f t="shared" si="4"/>
        <v>0</v>
      </c>
      <c r="N204" s="138"/>
      <c r="O204" s="139">
        <v>1</v>
      </c>
      <c r="P204" s="140">
        <f>IF(N204="",0,M204*Config!$C$25*O204)</f>
        <v>0</v>
      </c>
      <c r="Q204" s="138"/>
      <c r="R204" s="139">
        <v>0</v>
      </c>
      <c r="S204" s="140">
        <f>IF(Q204="",0,M204*Config!$C$25*R204)</f>
        <v>0</v>
      </c>
      <c r="T204" s="138"/>
      <c r="U204" s="139">
        <v>0</v>
      </c>
      <c r="V204" s="140">
        <f>IF(T204="",0,M204*Config!$C$25*U204)</f>
        <v>0</v>
      </c>
      <c r="W204" s="107" t="str">
        <f t="shared" si="5"/>
        <v/>
      </c>
    </row>
    <row r="205" spans="1:23" ht="18" customHeight="1" x14ac:dyDescent="0.45">
      <c r="A205" s="83"/>
      <c r="B205" s="46" t="str">
        <f>IF(A205&lt;&gt;"",INDEX('Raw Data'!$A$4:$A$203,A205-4+1),"")</f>
        <v/>
      </c>
      <c r="C205" s="46" t="str">
        <f>IF(A205&lt;&gt;"",INDEX('Raw Data'!$B$4:$B$203,A205-4+1),"")</f>
        <v/>
      </c>
      <c r="D205" s="46" t="str">
        <f>IF(A205&lt;&gt;"",INDEX('Raw Data'!$C$4:$C$203,A205-4+1),"")</f>
        <v/>
      </c>
      <c r="E205" s="109" t="str">
        <f>IF(A205&lt;&gt;"",INDEX('Raw Data'!$D$4:$D$203,A205-4+1),"")</f>
        <v/>
      </c>
      <c r="F205" s="46" t="str">
        <f>IF(A205&lt;&gt;"",INDEX('Raw Data'!$E$4:$E$203,A205-4+1),"")</f>
        <v/>
      </c>
      <c r="G205" s="110" t="str">
        <f>IF(A205&lt;&gt;"",INDEX('Raw Data'!$H$4:$H$203,A205-4+1),"")</f>
        <v/>
      </c>
      <c r="H205" s="111" t="str">
        <f>IF(A205&lt;&gt;"",INDEX('Raw Data'!$I$4:$I$203,A205-4+1),"")</f>
        <v/>
      </c>
      <c r="I205" s="112" t="str">
        <f>IF(A205&lt;&gt;"",INDEX('Raw Data'!$O$4:$O$203,A205-4+1),"")</f>
        <v/>
      </c>
      <c r="J205" s="113" t="str">
        <f>IF(A205&lt;&gt;"",IF(INDEX('Raw Data'!$D$4:$D$203,A205-4+1)&lt;&gt;"",INDEX('Raw Data'!$P$4:$P$203,A205-4+1),INDEX('Raw Data'!$R$4:$R$203,A205-4+1)),"")</f>
        <v/>
      </c>
      <c r="K205" s="114" t="str">
        <f>IF(A205&lt;&gt;"",IF(INDEX('Raw Data'!$Q$4:$Q$203,A205-4+1)&lt;&gt;"",INDEX('Raw Data'!$Q$4:$Q$203,A205-4+1),""),"")</f>
        <v/>
      </c>
      <c r="L205" s="114" t="str">
        <f t="shared" si="3"/>
        <v/>
      </c>
      <c r="M205" s="145">
        <f t="shared" si="4"/>
        <v>0</v>
      </c>
      <c r="N205" s="141"/>
      <c r="O205" s="142">
        <v>1</v>
      </c>
      <c r="P205" s="143">
        <f>IF(N205="",0,M205*Config!$C$25*O205)</f>
        <v>0</v>
      </c>
      <c r="Q205" s="141"/>
      <c r="R205" s="142">
        <v>0</v>
      </c>
      <c r="S205" s="143">
        <f>IF(Q205="",0,M205*Config!$C$25*R205)</f>
        <v>0</v>
      </c>
      <c r="T205" s="141"/>
      <c r="U205" s="142">
        <v>0</v>
      </c>
      <c r="V205" s="143">
        <f>IF(T205="",0,M205*Config!$C$25*U205)</f>
        <v>0</v>
      </c>
      <c r="W205" s="107" t="str">
        <f t="shared" si="5"/>
        <v/>
      </c>
    </row>
    <row r="207" spans="1:23" ht="21.75" customHeight="1" x14ac:dyDescent="0.45">
      <c r="B207" s="146" t="s">
        <v>276</v>
      </c>
      <c r="I207" s="147">
        <f>SUM(I7:I205)</f>
        <v>1352400000</v>
      </c>
      <c r="M207" s="147">
        <f>SUM(M7:M205)</f>
        <v>435610000</v>
      </c>
      <c r="P207" s="147">
        <f>SUM(P7:P205)</f>
        <v>11301850</v>
      </c>
      <c r="S207" s="147">
        <f>SUM(S7:S205)</f>
        <v>2143750</v>
      </c>
      <c r="V207" s="147">
        <f>SUM(V7:V205)</f>
        <v>0</v>
      </c>
    </row>
  </sheetData>
  <autoFilter ref="B6:Z205" xr:uid="{00000000-0009-0000-0000-000004000000}"/>
  <mergeCells count="6">
    <mergeCell ref="A1:W1"/>
    <mergeCell ref="A2:W2"/>
    <mergeCell ref="A3:W3"/>
    <mergeCell ref="A5:D5"/>
    <mergeCell ref="E5:M5"/>
    <mergeCell ref="N5:V5"/>
  </mergeCells>
  <conditionalFormatting sqref="W7:W205">
    <cfRule type="cellIs" dxfId="2" priority="2" operator="greaterThan">
      <formula>1</formula>
    </cfRule>
    <cfRule type="cellIs" dxfId="1" priority="3" operator="equal">
      <formula>1</formula>
    </cfRule>
    <cfRule type="expression" dxfId="0" priority="4">
      <formula>AND(W7&gt;0,W7&lt;1)</formula>
    </cfRule>
  </conditionalFormatting>
  <dataValidations count="1">
    <dataValidation type="list" sqref="O7:O205 R7:R205 U7:U205" xr:uid="{00000000-0002-0000-0400-000000000000}">
      <formula1>"0%,10%,20%,25%,30%,40%,50%,60%,70%,75%,80%,90%,100%"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showGridLines="0" zoomScale="120" zoomScaleNormal="120" workbookViewId="0">
      <pane ySplit="4" topLeftCell="A19" activePane="bottomLeft" state="frozen"/>
      <selection pane="bottomLeft" activeCell="A20" sqref="A20"/>
    </sheetView>
  </sheetViews>
  <sheetFormatPr defaultColWidth="8.6640625" defaultRowHeight="14.25" x14ac:dyDescent="0.45"/>
  <cols>
    <col min="1" max="1" width="24" customWidth="1"/>
    <col min="2" max="2" width="16" customWidth="1"/>
    <col min="3" max="5" width="14" customWidth="1"/>
    <col min="6" max="8" width="16" customWidth="1"/>
    <col min="9" max="9" width="12.1328125" customWidth="1"/>
  </cols>
  <sheetData>
    <row r="1" spans="1:9" ht="30" customHeight="1" x14ac:dyDescent="0.45">
      <c r="A1" s="236" t="str">
        <f>Config!C11&amp;" — COMMISSION SUMMARY  |  ALL ROLES"</f>
        <v>PT ITSEC ASIA — SALES COMMISSION TRACKER Q1 2026 — COMMISSION SUMMARY  |  ALL ROLES</v>
      </c>
      <c r="B1" s="236"/>
      <c r="C1" s="236"/>
      <c r="D1" s="236"/>
      <c r="E1" s="236"/>
      <c r="F1" s="236"/>
      <c r="G1" s="236"/>
      <c r="H1" s="236"/>
    </row>
    <row r="2" spans="1:9" ht="15.75" customHeight="1" x14ac:dyDescent="0.45">
      <c r="A2" s="237" t="str">
        <f>Config!C7&amp;"  |  Payout: "&amp;TEXT(Config!C10,"DD-MMM-YYYY")&amp;"  |  5% flat quarterly — tier uplift reconciled at year-end"</f>
        <v>Q1 2026  |  Payout: 30-Apr-2026  |  5% flat quarterly — tier uplift reconciled at year-end</v>
      </c>
      <c r="B2" s="237"/>
      <c r="C2" s="237"/>
      <c r="D2" s="237"/>
      <c r="E2" s="237"/>
      <c r="F2" s="237"/>
      <c r="G2" s="237"/>
      <c r="H2" s="237"/>
    </row>
    <row r="3" spans="1:9" ht="7.5" customHeight="1" x14ac:dyDescent="0.45"/>
    <row r="4" spans="1:9" ht="36" customHeight="1" x14ac:dyDescent="0.45">
      <c r="A4" s="148" t="s">
        <v>289</v>
      </c>
      <c r="B4" s="149" t="s">
        <v>290</v>
      </c>
      <c r="C4" s="150" t="s">
        <v>291</v>
      </c>
      <c r="D4" s="151" t="s">
        <v>292</v>
      </c>
      <c r="E4" s="148" t="s">
        <v>293</v>
      </c>
      <c r="F4" s="152" t="s">
        <v>294</v>
      </c>
      <c r="G4" s="153" t="s">
        <v>295</v>
      </c>
      <c r="H4" s="149" t="s">
        <v>296</v>
      </c>
    </row>
    <row r="5" spans="1:9" ht="18" customHeight="1" x14ac:dyDescent="0.45">
      <c r="A5" s="251" t="s">
        <v>297</v>
      </c>
      <c r="B5" s="251"/>
      <c r="C5" s="251"/>
      <c r="D5" s="251"/>
      <c r="E5" s="251"/>
      <c r="F5" s="251"/>
      <c r="G5" s="251"/>
      <c r="H5" s="251"/>
    </row>
    <row r="6" spans="1:9" ht="19.5" customHeight="1" x14ac:dyDescent="0.45">
      <c r="A6" s="154" t="s">
        <v>144</v>
      </c>
      <c r="B6" s="155">
        <f>SUMIF('Commission Data — Sales'!$O$7:O205,A6,'Commission Data — Sales'!$AQ$7:AQ205)+SUMIF('Commission Data — Sales'!$S$7:S205,A6,'Commission Data — Sales'!$AR$7:AR205)+SUMIF('Commission Data — Sales'!$W$7:W205,A6,'Commission Data — Sales'!$AS$7:AS205)</f>
        <v>2822400</v>
      </c>
      <c r="C6" s="156">
        <f>SUMIF('Commission Data — Sales'!$AA$7:AA205,A6,'Commission Data — Sales'!$AB$7:AB205)</f>
        <v>0</v>
      </c>
      <c r="D6" s="157">
        <f>SUMIF('Commission Data — Sales'!$AC$7:AC205,A6,'Commission Data — Sales'!$AD$7:AD205)</f>
        <v>0</v>
      </c>
      <c r="E6" s="158">
        <f>SUMIF('Commission Data — Sales'!$AE$7:AE205,A6,'Commission Data — Sales'!$AF$7:AF205)</f>
        <v>0</v>
      </c>
      <c r="F6" s="159">
        <f>SUMIF('Commission Data — Sales'!$AG$7:AG205,A6,'Commission Data — Sales'!$AI$7:AI205)+SUMIF('Commission Data — Sales'!$AJ$7:AJ205,A6,'Commission Data — Sales'!$AL$7:AL205)+SUMIF('Commission Data — Sales'!$AM$7:AM205,A6,'Commission Data — Sales'!$AO$7:AO205)</f>
        <v>0</v>
      </c>
      <c r="G6" s="160">
        <f>SUMIF('Commission Data — Presales'!$N$7:N205,A6,'Commission Data — Presales'!$P$7:P205)+SUMIF('Commission Data — Presales'!$Q$7:Q205,A6,'Commission Data — Presales'!$S$7:S205)+SUMIF('Commission Data — Presales'!$T$7:T205,A6,'Commission Data — Presales'!$V$7:V205)</f>
        <v>0</v>
      </c>
      <c r="H6" s="161">
        <f t="shared" ref="H6:H14" si="0">B6+C6+D6+E6+F6+G6</f>
        <v>2822400</v>
      </c>
    </row>
    <row r="7" spans="1:9" ht="19.5" customHeight="1" x14ac:dyDescent="0.45">
      <c r="A7" s="162" t="s">
        <v>142</v>
      </c>
      <c r="B7" s="163">
        <f>SUMIF('Commission Data — Sales'!$O$7:O205,A7,'Commission Data — Sales'!$AQ$7:AQ205)+SUMIF('Commission Data — Sales'!$S$7:S205,A7,'Commission Data — Sales'!$AR$7:AR205)+SUMIF('Commission Data — Sales'!$W$7:W205,A7,'Commission Data — Sales'!$AS$7:AS205)</f>
        <v>0</v>
      </c>
      <c r="C7" s="164">
        <f>SUMIF('Commission Data — Sales'!$AA$7:AA205,A7,'Commission Data — Sales'!$AB$7:AB205)</f>
        <v>0</v>
      </c>
      <c r="D7" s="165">
        <f>SUMIF('Commission Data — Sales'!$AC$7:AC205,A7,'Commission Data — Sales'!$AD$7:AD205)</f>
        <v>0</v>
      </c>
      <c r="E7" s="166">
        <f>SUMIF('Commission Data — Sales'!$AE$7:AE205,A7,'Commission Data — Sales'!$AF$7:AF205)</f>
        <v>0</v>
      </c>
      <c r="F7" s="167">
        <f>SUMIF('Commission Data — Sales'!$AG$7:AG205,A7,'Commission Data — Sales'!$AI$7:AI205)+SUMIF('Commission Data — Sales'!$AJ$7:AJ205,A7,'Commission Data — Sales'!$AL$7:AL205)+SUMIF('Commission Data — Sales'!$AM$7:AM205,A7,'Commission Data — Sales'!$AO$7:AO205)</f>
        <v>0</v>
      </c>
      <c r="G7" s="168">
        <f>SUMIF('Commission Data — Presales'!$N$7:N205,A7,'Commission Data — Presales'!$P$7:P205)+SUMIF('Commission Data — Presales'!$Q$7:Q205,A7,'Commission Data — Presales'!$S$7:S205)+SUMIF('Commission Data — Presales'!$T$7:T205,A7,'Commission Data — Presales'!$V$7:V205)</f>
        <v>0</v>
      </c>
      <c r="H7" s="169">
        <f t="shared" si="0"/>
        <v>0</v>
      </c>
    </row>
    <row r="8" spans="1:9" ht="19.5" customHeight="1" x14ac:dyDescent="0.45">
      <c r="A8" s="154" t="s">
        <v>141</v>
      </c>
      <c r="B8" s="155">
        <f>SUMIF('Commission Data — Sales'!$O$7:O205,A8,'Commission Data — Sales'!$AQ$7:AQ205)+SUMIF('Commission Data — Sales'!$S$7:S205,A8,'Commission Data — Sales'!$AR$7:AR205)+SUMIF('Commission Data — Sales'!$W$7:W205,A8,'Commission Data — Sales'!$AS$7:AS205)</f>
        <v>0</v>
      </c>
      <c r="C8" s="156">
        <f>SUMIF('Commission Data — Sales'!$AA$7:AA205,A8,'Commission Data — Sales'!$AB$7:AB205)</f>
        <v>0</v>
      </c>
      <c r="D8" s="157">
        <f>SUMIF('Commission Data — Sales'!$AC$7:AC205,A8,'Commission Data — Sales'!$AD$7:AD205)</f>
        <v>3049270</v>
      </c>
      <c r="E8" s="158">
        <f>SUMIF('Commission Data — Sales'!$AE$7:AE205,A8,'Commission Data — Sales'!$AF$7:AF205)</f>
        <v>0</v>
      </c>
      <c r="F8" s="159">
        <f>SUMIF('Commission Data — Sales'!$AG$7:AG205,A8,'Commission Data — Sales'!$AI$7:AI205)+SUMIF('Commission Data — Sales'!$AJ$7:AJ205,A8,'Commission Data — Sales'!$AL$7:AL205)+SUMIF('Commission Data — Sales'!$AM$7:AM205,A8,'Commission Data — Sales'!$AO$7:AO205)</f>
        <v>0</v>
      </c>
      <c r="G8" s="160">
        <f>SUMIF('Commission Data — Presales'!$N$7:N205,A8,'Commission Data — Presales'!$P$7:P205)+SUMIF('Commission Data — Presales'!$Q$7:Q205,A8,'Commission Data — Presales'!$S$7:S205)+SUMIF('Commission Data — Presales'!$T$7:T205,A8,'Commission Data — Presales'!$V$7:V205)</f>
        <v>0</v>
      </c>
      <c r="H8" s="161">
        <f t="shared" si="0"/>
        <v>3049270</v>
      </c>
    </row>
    <row r="9" spans="1:9" ht="19.5" customHeight="1" x14ac:dyDescent="0.45">
      <c r="A9" s="162" t="s">
        <v>145</v>
      </c>
      <c r="B9" s="163">
        <f>SUMIF('Commission Data — Sales'!$O$7:O205,A9,'Commission Data — Sales'!$AQ$7:AQ205)+SUMIF('Commission Data — Sales'!$S$7:S205,A9,'Commission Data — Sales'!$AR$7:AR205)+SUMIF('Commission Data — Sales'!$W$7:W205,A9,'Commission Data — Sales'!$AS$7:AS205)</f>
        <v>2572500</v>
      </c>
      <c r="C9" s="164">
        <f>SUMIF('Commission Data — Sales'!$AA$7:AA205,A9,'Commission Data — Sales'!$AB$7:AB205)</f>
        <v>0</v>
      </c>
      <c r="D9" s="165">
        <f>SUMIF('Commission Data — Sales'!$AC$7:AC205,A9,'Commission Data — Sales'!$AD$7:AD205)</f>
        <v>0</v>
      </c>
      <c r="E9" s="166">
        <f>SUMIF('Commission Data — Sales'!$AE$7:AE205,A9,'Commission Data — Sales'!$AF$7:AF205)</f>
        <v>0</v>
      </c>
      <c r="F9" s="167">
        <f>SUMIF('Commission Data — Sales'!$AG$7:AG205,A9,'Commission Data — Sales'!$AI$7:AI205)+SUMIF('Commission Data — Sales'!$AJ$7:AJ205,A9,'Commission Data — Sales'!$AL$7:AL205)+SUMIF('Commission Data — Sales'!$AM$7:AM205,A9,'Commission Data — Sales'!$AO$7:AO205)</f>
        <v>0</v>
      </c>
      <c r="G9" s="168">
        <f>SUMIF('Commission Data — Presales'!$N$7:N205,A9,'Commission Data — Presales'!$P$7:P205)+SUMIF('Commission Data — Presales'!$Q$7:Q205,A9,'Commission Data — Presales'!$S$7:S205)+SUMIF('Commission Data — Presales'!$T$7:T205,A9,'Commission Data — Presales'!$V$7:V205)</f>
        <v>0</v>
      </c>
      <c r="H9" s="169">
        <f t="shared" si="0"/>
        <v>2572500</v>
      </c>
    </row>
    <row r="10" spans="1:9" ht="19.5" customHeight="1" x14ac:dyDescent="0.45">
      <c r="A10" s="154" t="s">
        <v>146</v>
      </c>
      <c r="B10" s="155">
        <f>SUMIF('Commission Data — Sales'!$O$7:O205,A10,'Commission Data — Sales'!$AQ$7:AQ205)+SUMIF('Commission Data — Sales'!$S$7:S205,A10,'Commission Data — Sales'!$AR$7:AR205)+SUMIF('Commission Data — Sales'!$W$7:W205,A10,'Commission Data — Sales'!$AS$7:AS205)</f>
        <v>2450000</v>
      </c>
      <c r="C10" s="156">
        <f>SUMIF('Commission Data — Sales'!$AA$7:AA205,A10,'Commission Data — Sales'!$AB$7:AB205)</f>
        <v>0</v>
      </c>
      <c r="D10" s="157">
        <f>SUMIF('Commission Data — Sales'!$AC$7:AC205,A10,'Commission Data — Sales'!$AD$7:AD205)</f>
        <v>0</v>
      </c>
      <c r="E10" s="158">
        <f>SUMIF('Commission Data — Sales'!$AE$7:AE205,A10,'Commission Data — Sales'!$AF$7:AF205)</f>
        <v>0</v>
      </c>
      <c r="F10" s="159">
        <f>SUMIF('Commission Data — Sales'!$AG$7:AG205,A10,'Commission Data — Sales'!$AI$7:AI205)+SUMIF('Commission Data — Sales'!$AJ$7:AJ205,A10,'Commission Data — Sales'!$AL$7:AL205)+SUMIF('Commission Data — Sales'!$AM$7:AM205,A10,'Commission Data — Sales'!$AO$7:AO205)</f>
        <v>0</v>
      </c>
      <c r="G10" s="160">
        <f>SUMIF('Commission Data — Presales'!$N$7:N205,A10,'Commission Data — Presales'!$P$7:P205)+SUMIF('Commission Data — Presales'!$Q$7:Q205,A10,'Commission Data — Presales'!$S$7:S205)+SUMIF('Commission Data — Presales'!$T$7:T205,A10,'Commission Data — Presales'!$V$7:V205)</f>
        <v>0</v>
      </c>
      <c r="H10" s="161">
        <f t="shared" si="0"/>
        <v>2450000</v>
      </c>
    </row>
    <row r="11" spans="1:9" ht="19.5" customHeight="1" x14ac:dyDescent="0.45">
      <c r="A11" s="162" t="s">
        <v>147</v>
      </c>
      <c r="B11" s="163">
        <f>SUMIF('Commission Data — Sales'!$O$7:O205,A11,'Commission Data — Sales'!$AQ$7:AQ205)+SUMIF('Commission Data — Sales'!$S$7:S205,A11,'Commission Data — Sales'!$AR$7:AR205)+SUMIF('Commission Data — Sales'!$W$7:W205,A11,'Commission Data — Sales'!$AS$7:AS205)</f>
        <v>4410000</v>
      </c>
      <c r="C11" s="164">
        <f>SUMIF('Commission Data — Sales'!$AA$7:AA205,A11,'Commission Data — Sales'!$AB$7:AB205)</f>
        <v>0</v>
      </c>
      <c r="D11" s="165">
        <f>SUMIF('Commission Data — Sales'!$AC$7:AC205,A11,'Commission Data — Sales'!$AD$7:AD205)</f>
        <v>0</v>
      </c>
      <c r="E11" s="166">
        <f>SUMIF('Commission Data — Sales'!$AE$7:AE205,A11,'Commission Data — Sales'!$AF$7:AF205)</f>
        <v>0</v>
      </c>
      <c r="F11" s="167">
        <f>SUMIF('Commission Data — Sales'!$AG$7:AG205,A11,'Commission Data — Sales'!$AI$7:AI205)+SUMIF('Commission Data — Sales'!$AJ$7:AJ205,A11,'Commission Data — Sales'!$AL$7:AL205)+SUMIF('Commission Data — Sales'!$AM$7:AM205,A11,'Commission Data — Sales'!$AO$7:AO205)</f>
        <v>0</v>
      </c>
      <c r="G11" s="168">
        <f>SUMIF('Commission Data — Presales'!$N$7:N205,A11,'Commission Data — Presales'!$P$7:P205)+SUMIF('Commission Data — Presales'!$Q$7:Q205,A11,'Commission Data — Presales'!$S$7:S205)+SUMIF('Commission Data — Presales'!$T$7:T205,A11,'Commission Data — Presales'!$V$7:V205)</f>
        <v>0</v>
      </c>
      <c r="H11" s="169">
        <f t="shared" si="0"/>
        <v>4410000</v>
      </c>
    </row>
    <row r="12" spans="1:9" ht="19.5" customHeight="1" x14ac:dyDescent="0.45">
      <c r="A12" s="154" t="s">
        <v>148</v>
      </c>
      <c r="B12" s="155">
        <f>SUMIF('Commission Data — Sales'!$O$7:O205,A12,'Commission Data — Sales'!$AQ$7:AQ205)+SUMIF('Commission Data — Sales'!$S$7:S205,A12,'Commission Data — Sales'!$AR$7:AR205)+SUMIF('Commission Data — Sales'!$W$7:W205,A12,'Commission Data — Sales'!$AS$7:AS205)</f>
        <v>3675000</v>
      </c>
      <c r="C12" s="156">
        <f>SUMIF('Commission Data — Sales'!$AA$7:AA205,A12,'Commission Data — Sales'!$AB$7:AB205)</f>
        <v>0</v>
      </c>
      <c r="D12" s="157">
        <f>SUMIF('Commission Data — Sales'!$AC$7:AC205,A12,'Commission Data — Sales'!$AD$7:AD205)</f>
        <v>0</v>
      </c>
      <c r="E12" s="158">
        <f>SUMIF('Commission Data — Sales'!$AE$7:AE205,A12,'Commission Data — Sales'!$AF$7:AF205)</f>
        <v>0</v>
      </c>
      <c r="F12" s="159">
        <f>SUMIF('Commission Data — Sales'!$AG$7:AG205,A12,'Commission Data — Sales'!$AI$7:AI205)+SUMIF('Commission Data — Sales'!$AJ$7:AJ205,A12,'Commission Data — Sales'!$AL$7:AL205)+SUMIF('Commission Data — Sales'!$AM$7:AM205,A12,'Commission Data — Sales'!$AO$7:AO205)</f>
        <v>0</v>
      </c>
      <c r="G12" s="160">
        <f>SUMIF('Commission Data — Presales'!$N$7:N205,A12,'Commission Data — Presales'!$P$7:P205)+SUMIF('Commission Data — Presales'!$Q$7:Q205,A12,'Commission Data — Presales'!$S$7:S205)+SUMIF('Commission Data — Presales'!$T$7:T205,A12,'Commission Data — Presales'!$V$7:V205)</f>
        <v>0</v>
      </c>
      <c r="H12" s="161">
        <f t="shared" si="0"/>
        <v>3675000</v>
      </c>
    </row>
    <row r="13" spans="1:9" ht="19.5" customHeight="1" x14ac:dyDescent="0.45">
      <c r="A13" s="162" t="s">
        <v>149</v>
      </c>
      <c r="B13" s="163">
        <f>SUMIF('Commission Data — Sales'!$O$7:O205,A13,'Commission Data — Sales'!$AQ$7:AQ205)+SUMIF('Commission Data — Sales'!$S$7:S205,A13,'Commission Data — Sales'!$AR$7:AR205)+SUMIF('Commission Data — Sales'!$W$7:W205,A13,'Commission Data — Sales'!$AS$7:AS205)</f>
        <v>2572500</v>
      </c>
      <c r="C13" s="164">
        <f>SUMIF('Commission Data — Sales'!$AA$7:AA205,A13,'Commission Data — Sales'!$AB$7:AB205)</f>
        <v>0</v>
      </c>
      <c r="D13" s="165">
        <f>SUMIF('Commission Data — Sales'!$AC$7:AC205,A13,'Commission Data — Sales'!$AD$7:AD205)</f>
        <v>0</v>
      </c>
      <c r="E13" s="166">
        <f>SUMIF('Commission Data — Sales'!$AE$7:AE205,A13,'Commission Data — Sales'!$AF$7:AF205)</f>
        <v>0</v>
      </c>
      <c r="F13" s="167">
        <f>SUMIF('Commission Data — Sales'!$AG$7:AG205,A13,'Commission Data — Sales'!$AI$7:AI205)+SUMIF('Commission Data — Sales'!$AJ$7:AJ205,A13,'Commission Data — Sales'!$AL$7:AL205)+SUMIF('Commission Data — Sales'!$AM$7:AM205,A13,'Commission Data — Sales'!$AO$7:AO205)</f>
        <v>0</v>
      </c>
      <c r="G13" s="168">
        <f>SUMIF('Commission Data — Presales'!$N$7:N205,A13,'Commission Data — Presales'!$P$7:P205)+SUMIF('Commission Data — Presales'!$Q$7:Q205,A13,'Commission Data — Presales'!$S$7:S205)+SUMIF('Commission Data — Presales'!$T$7:T205,A13,'Commission Data — Presales'!$V$7:V205)</f>
        <v>0</v>
      </c>
      <c r="H13" s="169">
        <f t="shared" si="0"/>
        <v>2572500</v>
      </c>
    </row>
    <row r="14" spans="1:9" ht="19.5" customHeight="1" x14ac:dyDescent="0.45">
      <c r="A14" s="154" t="s">
        <v>150</v>
      </c>
      <c r="B14" s="155">
        <f>SUMIF('Commission Data — Sales'!$O$7:O205,A14,'Commission Data — Sales'!$AQ$7:AQ205)+SUMIF('Commission Data — Sales'!$S$7:S205,A14,'Commission Data — Sales'!$AR$7:AR205)+SUMIF('Commission Data — Sales'!$W$7:W205,A14,'Commission Data — Sales'!$AS$7:AS205)</f>
        <v>0</v>
      </c>
      <c r="C14" s="156">
        <f>SUMIF('Commission Data — Sales'!$AA$7:AA205,A14,'Commission Data — Sales'!$AB$7:AB205)</f>
        <v>0</v>
      </c>
      <c r="D14" s="157">
        <f>SUMIF('Commission Data — Sales'!$AC$7:AC205,A14,'Commission Data — Sales'!$AD$7:AD205)</f>
        <v>0</v>
      </c>
      <c r="E14" s="158">
        <f>SUMIF('Commission Data — Sales'!$AE$7:AE205,A14,'Commission Data — Sales'!$AF$7:AF205)</f>
        <v>0</v>
      </c>
      <c r="F14" s="159">
        <f>SUMIF('Commission Data — Sales'!$AG$7:AG205,A14,'Commission Data — Sales'!$AI$7:AI205)+SUMIF('Commission Data — Sales'!$AJ$7:AJ205,A14,'Commission Data — Sales'!$AL$7:AL205)+SUMIF('Commission Data — Sales'!$AM$7:AM205,A14,'Commission Data — Sales'!$AO$7:AO205)</f>
        <v>705600</v>
      </c>
      <c r="G14" s="160">
        <f>SUMIF('Commission Data — Presales'!$N$7:N205,A14,'Commission Data — Presales'!$P$7:P205)+SUMIF('Commission Data — Presales'!$Q$7:Q205,A14,'Commission Data — Presales'!$S$7:S205)+SUMIF('Commission Data — Presales'!$T$7:T205,A14,'Commission Data — Presales'!$V$7:V205)</f>
        <v>0</v>
      </c>
      <c r="H14" s="161">
        <f t="shared" si="0"/>
        <v>705600</v>
      </c>
      <c r="I14" s="170" t="s">
        <v>298</v>
      </c>
    </row>
    <row r="15" spans="1:9" ht="19.5" customHeight="1" x14ac:dyDescent="0.45">
      <c r="G15" s="171" t="s">
        <v>299</v>
      </c>
      <c r="H15" s="172">
        <f>SUM(H6:H14)</f>
        <v>22257270</v>
      </c>
      <c r="I15" s="173">
        <f>H15-('Commission Data — Sales'!AQ207+'Commission Data — Sales'!AR207+'Commission Data — Sales'!AS207+'Commission Data — Sales'!AD207)</f>
        <v>705600</v>
      </c>
    </row>
    <row r="16" spans="1:9" ht="7.5" customHeight="1" x14ac:dyDescent="0.45"/>
    <row r="17" spans="1:9" ht="18" customHeight="1" x14ac:dyDescent="0.45">
      <c r="A17" s="252" t="s">
        <v>300</v>
      </c>
      <c r="B17" s="252"/>
      <c r="C17" s="252"/>
      <c r="D17" s="252"/>
      <c r="E17" s="252"/>
      <c r="F17" s="252"/>
      <c r="G17" s="252"/>
      <c r="H17" s="252"/>
    </row>
    <row r="18" spans="1:9" ht="19.5" customHeight="1" x14ac:dyDescent="0.45">
      <c r="A18" s="154" t="s">
        <v>151</v>
      </c>
      <c r="B18" s="58"/>
      <c r="C18" s="58"/>
      <c r="D18" s="58"/>
      <c r="E18" s="58"/>
      <c r="F18" s="58"/>
      <c r="G18" s="174">
        <f>SUMIF('Commission Data — Presales'!$N$7:N205,A18,'Commission Data — Presales'!$P$7:P205)+SUMIF('Commission Data — Presales'!$Q$7:Q205,A18,'Commission Data — Presales'!$S$7:S205)+SUMIF('Commission Data — Presales'!$T$7:T205,A18,'Commission Data — Presales'!$V$7:V205)</f>
        <v>6688500.0000000009</v>
      </c>
      <c r="H18" s="175">
        <f t="shared" ref="H18:H31" si="1">G18</f>
        <v>6688500.0000000009</v>
      </c>
    </row>
    <row r="19" spans="1:9" ht="19.5" customHeight="1" x14ac:dyDescent="0.45">
      <c r="A19" s="162" t="s">
        <v>152</v>
      </c>
      <c r="B19" s="176"/>
      <c r="C19" s="176"/>
      <c r="D19" s="176"/>
      <c r="E19" s="176"/>
      <c r="F19" s="176"/>
      <c r="G19" s="177">
        <f>SUMIF('Commission Data — Presales'!$N$7:N205,A19,'Commission Data — Presales'!$P$7:P205)+SUMIF('Commission Data — Presales'!$Q$7:Q205,A19,'Commission Data — Presales'!$S$7:S205)+SUMIF('Commission Data — Presales'!$T$7:T205,A19,'Commission Data — Presales'!$V$7:V205)</f>
        <v>0</v>
      </c>
      <c r="H19" s="178">
        <f t="shared" si="1"/>
        <v>0</v>
      </c>
    </row>
    <row r="20" spans="1:9" ht="19.5" customHeight="1" x14ac:dyDescent="0.45">
      <c r="A20" s="154" t="s">
        <v>153</v>
      </c>
      <c r="B20" s="58"/>
      <c r="C20" s="58"/>
      <c r="D20" s="58"/>
      <c r="E20" s="58"/>
      <c r="F20" s="58"/>
      <c r="G20" s="174">
        <f>SUMIF('Commission Data — Presales'!$N$7:N205,A20,'Commission Data — Presales'!$P$7:P205)+SUMIF('Commission Data — Presales'!$Q$7:Q205,A20,'Commission Data — Presales'!$S$7:S205)+SUMIF('Commission Data — Presales'!$T$7:T205,A20,'Commission Data — Presales'!$V$7:V205)</f>
        <v>2469600.0000000005</v>
      </c>
      <c r="H20" s="175">
        <f t="shared" si="1"/>
        <v>2469600.0000000005</v>
      </c>
    </row>
    <row r="21" spans="1:9" ht="19.5" customHeight="1" x14ac:dyDescent="0.45">
      <c r="A21" s="162" t="s">
        <v>154</v>
      </c>
      <c r="B21" s="176"/>
      <c r="C21" s="176"/>
      <c r="D21" s="176"/>
      <c r="E21" s="176"/>
      <c r="F21" s="176"/>
      <c r="G21" s="177">
        <f>SUMIF('Commission Data — Presales'!$N$7:N205,A21,'Commission Data — Presales'!$P$7:P205)+SUMIF('Commission Data — Presales'!$Q$7:Q205,A21,'Commission Data — Presales'!$S$7:S205)+SUMIF('Commission Data — Presales'!$T$7:T205,A21,'Commission Data — Presales'!$V$7:V205)</f>
        <v>2143750</v>
      </c>
      <c r="H21" s="178">
        <f t="shared" si="1"/>
        <v>2143750</v>
      </c>
    </row>
    <row r="22" spans="1:9" ht="19.5" customHeight="1" x14ac:dyDescent="0.45">
      <c r="A22" s="154" t="s">
        <v>155</v>
      </c>
      <c r="B22" s="58"/>
      <c r="C22" s="58"/>
      <c r="D22" s="58"/>
      <c r="E22" s="58"/>
      <c r="F22" s="58"/>
      <c r="G22" s="174">
        <f>SUMIF('Commission Data — Presales'!$N$7:N205,A22,'Commission Data — Presales'!$P$7:P205)+SUMIF('Commission Data — Presales'!$Q$7:Q205,A22,'Commission Data — Presales'!$S$7:S205)+SUMIF('Commission Data — Presales'!$T$7:T205,A22,'Commission Data — Presales'!$V$7:V205)</f>
        <v>0</v>
      </c>
      <c r="H22" s="175">
        <f t="shared" si="1"/>
        <v>0</v>
      </c>
    </row>
    <row r="23" spans="1:9" ht="19.5" customHeight="1" x14ac:dyDescent="0.45">
      <c r="A23" s="162" t="s">
        <v>156</v>
      </c>
      <c r="B23" s="176"/>
      <c r="C23" s="176"/>
      <c r="D23" s="176"/>
      <c r="E23" s="176"/>
      <c r="F23" s="176"/>
      <c r="G23" s="177">
        <f>SUMIF('Commission Data — Presales'!$N$7:N205,A23,'Commission Data — Presales'!$P$7:P205)+SUMIF('Commission Data — Presales'!$Q$7:Q205,A23,'Commission Data — Presales'!$S$7:S205)+SUMIF('Commission Data — Presales'!$T$7:T205,A23,'Commission Data — Presales'!$V$7:V205)</f>
        <v>0</v>
      </c>
      <c r="H23" s="178">
        <f t="shared" si="1"/>
        <v>0</v>
      </c>
    </row>
    <row r="24" spans="1:9" ht="19.5" customHeight="1" x14ac:dyDescent="0.45">
      <c r="A24" s="154" t="s">
        <v>157</v>
      </c>
      <c r="B24" s="58"/>
      <c r="C24" s="58"/>
      <c r="D24" s="58"/>
      <c r="E24" s="58"/>
      <c r="F24" s="58"/>
      <c r="G24" s="174">
        <f>SUMIF('Commission Data — Presales'!$N$7:N205,A24,'Commission Data — Presales'!$P$7:P205)+SUMIF('Commission Data — Presales'!$Q$7:Q205,A24,'Commission Data — Presales'!$S$7:S205)+SUMIF('Commission Data — Presales'!$T$7:T205,A24,'Commission Data — Presales'!$V$7:V205)</f>
        <v>0</v>
      </c>
      <c r="H24" s="175">
        <f t="shared" si="1"/>
        <v>0</v>
      </c>
    </row>
    <row r="25" spans="1:9" ht="19.5" customHeight="1" x14ac:dyDescent="0.45">
      <c r="A25" s="162" t="s">
        <v>158</v>
      </c>
      <c r="B25" s="176"/>
      <c r="C25" s="176"/>
      <c r="D25" s="176"/>
      <c r="E25" s="176"/>
      <c r="F25" s="176"/>
      <c r="G25" s="177">
        <f>SUMIF('Commission Data — Presales'!$N$7:N205,A25,'Commission Data — Presales'!$P$7:P205)+SUMIF('Commission Data — Presales'!$Q$7:Q205,A25,'Commission Data — Presales'!$S$7:S205)+SUMIF('Commission Data — Presales'!$T$7:T205,A25,'Commission Data — Presales'!$V$7:V205)</f>
        <v>0</v>
      </c>
      <c r="H25" s="178">
        <f t="shared" si="1"/>
        <v>0</v>
      </c>
    </row>
    <row r="26" spans="1:9" ht="19.5" customHeight="1" x14ac:dyDescent="0.45">
      <c r="A26" s="154" t="s">
        <v>159</v>
      </c>
      <c r="B26" s="58"/>
      <c r="C26" s="58"/>
      <c r="D26" s="58"/>
      <c r="E26" s="58"/>
      <c r="F26" s="58"/>
      <c r="G26" s="174">
        <f>SUMIF('Commission Data — Presales'!$N$7:N205,A26,'Commission Data — Presales'!$P$7:P205)+SUMIF('Commission Data — Presales'!$Q$7:Q205,A26,'Commission Data — Presales'!$S$7:S205)+SUMIF('Commission Data — Presales'!$T$7:T205,A26,'Commission Data — Presales'!$V$7:V205)</f>
        <v>0</v>
      </c>
      <c r="H26" s="175">
        <f t="shared" si="1"/>
        <v>0</v>
      </c>
    </row>
    <row r="27" spans="1:9" ht="19.5" customHeight="1" x14ac:dyDescent="0.45">
      <c r="A27" s="162" t="s">
        <v>162</v>
      </c>
      <c r="B27" s="176"/>
      <c r="C27" s="176"/>
      <c r="D27" s="176"/>
      <c r="E27" s="176"/>
      <c r="F27" s="176"/>
      <c r="G27" s="177">
        <f>SUMIF('Commission Data — Presales'!$N$7:N205,A27,'Commission Data — Presales'!$P$7:P205)+SUMIF('Commission Data — Presales'!$Q$7:Q205,A27,'Commission Data — Presales'!$S$7:S205)+SUMIF('Commission Data — Presales'!$T$7:T205,A27,'Commission Data — Presales'!$V$7:V205)</f>
        <v>2143750</v>
      </c>
      <c r="H27" s="178">
        <f t="shared" si="1"/>
        <v>2143750</v>
      </c>
    </row>
    <row r="28" spans="1:9" ht="19.5" customHeight="1" x14ac:dyDescent="0.45">
      <c r="A28" s="154" t="s">
        <v>163</v>
      </c>
      <c r="B28" s="58"/>
      <c r="C28" s="58"/>
      <c r="D28" s="58"/>
      <c r="E28" s="58"/>
      <c r="F28" s="58"/>
      <c r="G28" s="174">
        <f>SUMIF('Commission Data — Presales'!$N$7:N205,A28,'Commission Data — Presales'!$P$7:P205)+SUMIF('Commission Data — Presales'!$Q$7:Q205,A28,'Commission Data — Presales'!$S$7:S205)+SUMIF('Commission Data — Presales'!$T$7:T205,A28,'Commission Data — Presales'!$V$7:V205)</f>
        <v>0</v>
      </c>
      <c r="H28" s="175">
        <f t="shared" si="1"/>
        <v>0</v>
      </c>
    </row>
    <row r="29" spans="1:9" ht="19.5" customHeight="1" x14ac:dyDescent="0.45">
      <c r="A29" s="162" t="s">
        <v>164</v>
      </c>
      <c r="B29" s="176"/>
      <c r="C29" s="176"/>
      <c r="D29" s="176"/>
      <c r="E29" s="176"/>
      <c r="F29" s="176"/>
      <c r="G29" s="177">
        <f>SUMIF('Commission Data — Presales'!$N$7:N205,A29,'Commission Data — Presales'!$P$7:P205)+SUMIF('Commission Data — Presales'!$Q$7:Q205,A29,'Commission Data — Presales'!$S$7:S205)+SUMIF('Commission Data — Presales'!$T$7:T205,A29,'Commission Data — Presales'!$V$7:V205)</f>
        <v>0</v>
      </c>
      <c r="H29" s="178">
        <f t="shared" si="1"/>
        <v>0</v>
      </c>
    </row>
    <row r="30" spans="1:9" ht="19.5" customHeight="1" x14ac:dyDescent="0.45">
      <c r="A30" s="154" t="s">
        <v>165</v>
      </c>
      <c r="B30" s="58"/>
      <c r="C30" s="58"/>
      <c r="D30" s="58"/>
      <c r="E30" s="58"/>
      <c r="F30" s="58"/>
      <c r="G30" s="174">
        <f>SUMIF('Commission Data — Presales'!$N$7:N205,A30,'Commission Data — Presales'!$P$7:P205)+SUMIF('Commission Data — Presales'!$Q$7:Q205,A30,'Commission Data — Presales'!$S$7:S205)+SUMIF('Commission Data — Presales'!$T$7:T205,A30,'Commission Data — Presales'!$V$7:V205)</f>
        <v>0</v>
      </c>
      <c r="H30" s="175">
        <f t="shared" si="1"/>
        <v>0</v>
      </c>
    </row>
    <row r="31" spans="1:9" ht="19.5" customHeight="1" x14ac:dyDescent="0.45">
      <c r="A31" s="162" t="s">
        <v>166</v>
      </c>
      <c r="B31" s="176"/>
      <c r="C31" s="176"/>
      <c r="D31" s="176"/>
      <c r="E31" s="176"/>
      <c r="F31" s="176"/>
      <c r="G31" s="177">
        <f>SUMIF('Commission Data — Presales'!$N$7:N205,A31,'Commission Data — Presales'!$P$7:P205)+SUMIF('Commission Data — Presales'!$Q$7:Q205,A31,'Commission Data — Presales'!$S$7:S205)+SUMIF('Commission Data — Presales'!$T$7:T205,A31,'Commission Data — Presales'!$V$7:V205)</f>
        <v>0</v>
      </c>
      <c r="H31" s="178">
        <f t="shared" si="1"/>
        <v>0</v>
      </c>
      <c r="I31" s="170" t="s">
        <v>298</v>
      </c>
    </row>
    <row r="32" spans="1:9" ht="19.5" customHeight="1" x14ac:dyDescent="0.45">
      <c r="G32" s="171" t="s">
        <v>299</v>
      </c>
      <c r="H32" s="179">
        <f>SUM(H18:H31)</f>
        <v>13445600.000000002</v>
      </c>
      <c r="I32" s="173">
        <f>H32-('Commission Data — Presales'!P207+'Commission Data — Presales'!S207+'Commission Data — Presales'!V207)</f>
        <v>0</v>
      </c>
    </row>
    <row r="33" spans="1:9" ht="19.5" customHeight="1" x14ac:dyDescent="0.45">
      <c r="A33" s="180" t="s">
        <v>301</v>
      </c>
    </row>
    <row r="34" spans="1:9" ht="19.5" customHeight="1" x14ac:dyDescent="0.45">
      <c r="A34" s="154" t="s">
        <v>168</v>
      </c>
      <c r="B34" s="58"/>
      <c r="C34" s="181">
        <f>SUMIF('Commission Data — Sales'!AA7:AA205,A34,'Commission Data — Sales'!AB7:AB205)</f>
        <v>2572500</v>
      </c>
      <c r="D34" s="181">
        <f>SUMIF('Commission Data — Sales'!AC7:AC205,A34,'Commission Data — Sales'!AD7:AD205)</f>
        <v>0</v>
      </c>
      <c r="E34" s="181">
        <f>SUMIF('Commission Data — Sales'!AE7:AE205,A34,'Commission Data — Sales'!AF7:AF205)</f>
        <v>0</v>
      </c>
      <c r="F34" s="58"/>
      <c r="G34" s="58"/>
      <c r="H34" s="182">
        <f>C34+D34+E34</f>
        <v>2572500</v>
      </c>
    </row>
    <row r="35" spans="1:9" ht="19.5" customHeight="1" x14ac:dyDescent="0.45">
      <c r="A35" s="183" t="s">
        <v>169</v>
      </c>
      <c r="B35" s="176"/>
      <c r="C35" s="184">
        <f>SUMIF('Commission Data — Sales'!AA7:AA205,A35,'Commission Data — Sales'!AB7:AB205)</f>
        <v>0</v>
      </c>
      <c r="D35" s="184">
        <f>SUMIF('Commission Data — Sales'!AC7:AC205,A35,'Commission Data — Sales'!AD7:AD205)</f>
        <v>0</v>
      </c>
      <c r="E35" s="184">
        <f>SUMIF('Commission Data — Sales'!AE7:AE205,A35,'Commission Data — Sales'!AF7:AF205)</f>
        <v>0</v>
      </c>
      <c r="F35" s="176"/>
      <c r="G35" s="176"/>
      <c r="H35" s="185">
        <f>C35+D35+E35</f>
        <v>0</v>
      </c>
    </row>
    <row r="36" spans="1:9" ht="19.5" customHeight="1" x14ac:dyDescent="0.45">
      <c r="A36" s="154" t="s">
        <v>139</v>
      </c>
      <c r="B36" s="58"/>
      <c r="C36" s="186">
        <f>SUMIF('Commission Data — Sales'!AA7:AA205,A36,'Commission Data — Sales'!AB7:AB205)</f>
        <v>0</v>
      </c>
      <c r="D36" s="186">
        <f>SUMIF('Commission Data — Sales'!AC7:AC205,A36,'Commission Data — Sales'!AD7:AD205)</f>
        <v>0</v>
      </c>
      <c r="E36" s="186">
        <f>SUMIF('Commission Data — Sales'!AE7:AE205,A36,'Commission Data — Sales'!AF7:AF205)</f>
        <v>1306830</v>
      </c>
      <c r="F36" s="58"/>
      <c r="G36" s="58"/>
      <c r="H36" s="182">
        <f>C36+D36+E36</f>
        <v>1306830</v>
      </c>
    </row>
    <row r="37" spans="1:9" ht="19.5" customHeight="1" x14ac:dyDescent="0.45">
      <c r="I37" s="170" t="s">
        <v>298</v>
      </c>
    </row>
    <row r="38" spans="1:9" ht="19.5" customHeight="1" x14ac:dyDescent="0.45">
      <c r="A38" s="187" t="s">
        <v>302</v>
      </c>
      <c r="B38" s="188">
        <f t="shared" ref="B38:G38" si="2">SUM(B5:B37)</f>
        <v>18502400</v>
      </c>
      <c r="C38" s="188">
        <f t="shared" si="2"/>
        <v>2572500</v>
      </c>
      <c r="D38" s="188">
        <f t="shared" si="2"/>
        <v>3049270</v>
      </c>
      <c r="E38" s="188">
        <f t="shared" si="2"/>
        <v>1306830</v>
      </c>
      <c r="F38" s="188">
        <f t="shared" si="2"/>
        <v>705600</v>
      </c>
      <c r="G38" s="188">
        <f t="shared" si="2"/>
        <v>13445600.000000002</v>
      </c>
      <c r="H38" s="188">
        <f>SUM(B38:G38)</f>
        <v>39582200</v>
      </c>
      <c r="I38" s="188">
        <f>H38-H36-H34-H32-H15</f>
        <v>0</v>
      </c>
    </row>
    <row r="39" spans="1:9" ht="19.5" customHeight="1" x14ac:dyDescent="0.45"/>
    <row r="40" spans="1:9" ht="21.75" customHeight="1" x14ac:dyDescent="0.45"/>
    <row r="41" spans="1:9" ht="10.5" customHeight="1" x14ac:dyDescent="0.45"/>
    <row r="42" spans="1:9" ht="21.75" customHeight="1" x14ac:dyDescent="0.45"/>
  </sheetData>
  <mergeCells count="4">
    <mergeCell ref="A1:H1"/>
    <mergeCell ref="A2:H2"/>
    <mergeCell ref="A5:H5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768"/>
  <sheetViews>
    <sheetView showGridLines="0" zoomScaleNormal="100" workbookViewId="0">
      <pane xSplit="1" ySplit="4" topLeftCell="C5" activePane="bottomRight" state="frozen"/>
      <selection pane="topRight" activeCell="C1" sqref="C1"/>
      <selection pane="bottomLeft" activeCell="A5" sqref="A5"/>
      <selection pane="bottomRight" activeCell="E11" sqref="E11"/>
    </sheetView>
  </sheetViews>
  <sheetFormatPr defaultColWidth="8.6640625" defaultRowHeight="14.25" x14ac:dyDescent="0.45"/>
  <cols>
    <col min="1" max="1" width="4" hidden="1" customWidth="1"/>
    <col min="2" max="2" width="26" customWidth="1"/>
    <col min="3" max="3" width="13" customWidth="1"/>
    <col min="4" max="4" width="11" customWidth="1"/>
    <col min="5" max="5" width="35" customWidth="1"/>
    <col min="6" max="6" width="11" customWidth="1"/>
    <col min="7" max="8" width="10" customWidth="1"/>
    <col min="9" max="9" width="14" customWidth="1"/>
    <col min="10" max="10" width="11" customWidth="1"/>
    <col min="11" max="12" width="14" customWidth="1"/>
    <col min="13" max="13" width="22" customWidth="1"/>
    <col min="14" max="18" width="13" hidden="1" customWidth="1"/>
  </cols>
  <sheetData>
    <row r="1" spans="1:18" ht="27.75" customHeight="1" x14ac:dyDescent="0.45">
      <c r="A1" s="240" t="str">
        <f>Config!C11&amp;" — COMMISSION SLIP  (CONFIDENTIAL)"</f>
        <v>PT ITSEC ASIA — SALES COMMISSION TRACKER Q1 2026 — COMMISSION SLIP  (CONFIDENTIAL)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</row>
    <row r="2" spans="1:18" ht="24" customHeight="1" x14ac:dyDescent="0.45">
      <c r="A2" s="253" t="s">
        <v>303</v>
      </c>
      <c r="B2" s="253"/>
      <c r="C2" s="253"/>
      <c r="D2" s="189" t="s">
        <v>166</v>
      </c>
      <c r="E2" s="254" t="str">
        <f>Config!C7&amp;"   |   Payout: "&amp;TEXT(Config!C10,"DD-MMM-YYYY")&amp;"   |   Change name in D2 to update"</f>
        <v>Q1 2026   |   Payout: 30-Apr-2026   |   Change name in D2 to update</v>
      </c>
      <c r="F2" s="254"/>
      <c r="G2" s="254"/>
      <c r="H2" s="254"/>
      <c r="I2" s="254"/>
      <c r="J2" s="254"/>
      <c r="K2" s="254"/>
      <c r="L2" s="254"/>
      <c r="M2" s="254"/>
    </row>
    <row r="3" spans="1:18" ht="6" customHeight="1" x14ac:dyDescent="0.45"/>
    <row r="4" spans="1:18" ht="36" customHeight="1" x14ac:dyDescent="0.45">
      <c r="A4" s="60" t="s">
        <v>304</v>
      </c>
      <c r="B4" s="190" t="s">
        <v>234</v>
      </c>
      <c r="C4" s="190" t="s">
        <v>235</v>
      </c>
      <c r="D4" s="190" t="s">
        <v>174</v>
      </c>
      <c r="E4" s="190" t="s">
        <v>178</v>
      </c>
      <c r="F4" s="190" t="s">
        <v>237</v>
      </c>
      <c r="G4" s="60" t="s">
        <v>305</v>
      </c>
      <c r="H4" s="61" t="s">
        <v>306</v>
      </c>
      <c r="I4" s="190" t="s">
        <v>242</v>
      </c>
      <c r="J4" s="190" t="s">
        <v>307</v>
      </c>
      <c r="K4" s="190" t="s">
        <v>308</v>
      </c>
      <c r="L4" s="190" t="s">
        <v>309</v>
      </c>
      <c r="M4" s="190" t="s">
        <v>310</v>
      </c>
      <c r="O4" t="s">
        <v>168</v>
      </c>
      <c r="P4" t="s">
        <v>311</v>
      </c>
      <c r="Q4">
        <v>23</v>
      </c>
      <c r="R4" t="s">
        <v>168</v>
      </c>
    </row>
    <row r="5" spans="1:18" ht="18" customHeight="1" x14ac:dyDescent="0.45">
      <c r="A5" s="83">
        <f>IFERROR(IF(INDEX(O4:O258,MATCH($D$2,O4:O258,0)+0)=$D$2,INDEX(Q4:Q258,MATCH($D$2,O4:O258,0)+0),""),"")</f>
        <v>61</v>
      </c>
      <c r="B5" s="191">
        <f>IF(A5&lt;&gt;"",IF(OR(N5="S",N5="M",N5="G",N5="D"),INDEX('Commission Data — Sales'!$C$7:$C$205,A5-7+1),INDEX('Commission Data — Presales'!$C$7:$C$205,A5-7+1)),"")</f>
        <v>0</v>
      </c>
      <c r="C5" s="191">
        <f>IF(A5&lt;&gt;"",IF(OR(N5="S",N5="M",N5="G",N5="D"),INDEX('Commission Data — Sales'!$D$7:$D$205,A5-7+1),INDEX('Commission Data — Presales'!$D$7:$D$205,A5-7+1)),"")</f>
        <v>0</v>
      </c>
      <c r="D5" s="191">
        <f>IF(A5&lt;&gt;"",IF(OR(N5="S",N5="M",N5="G",N5="D"),INDEX('Commission Data — Sales'!$E$7:$E$205,A5-7+1),INDEX('Commission Data — Presales'!$E$7:$E$205,A5-7+1)),"")</f>
        <v>0</v>
      </c>
      <c r="E5" s="191">
        <f>IF(A5&lt;&gt;"",IF(OR(N5="S",N5="M",N5="G",N5="D"),INDEX('Commission Data — Sales'!$G$7:$G$205,A5-7+1),INDEX('Commission Data — Presales'!$G$7:$G$205,A5-7+1)),"")</f>
        <v>0</v>
      </c>
      <c r="F5" s="192">
        <f>IF(A5&lt;&gt;"",IF(OR(N5="S",N5="M",N5="G",N5="D"),INDEX('Commission Data — Sales'!$H$7:$H$205,A5-7+1),INDEX('Commission Data — Presales'!$H$7:$H$205,A5-7+1)),"")</f>
        <v>0</v>
      </c>
      <c r="G5" s="193" t="str">
        <f>IF(A5&lt;&gt;"",IF(OR(N5="S",N5="M",N5="G",N5="D"),INDEX('Commission Data — Sales'!$N$7:$N$205,A5-7+1),"Presales"),"")</f>
        <v>Presales</v>
      </c>
      <c r="H5" s="194">
        <f>IF(A5&lt;&gt;"",IF(OR(N5="S",N5="M",N5="G",N5="D"),INDEX('Commission Data — Sales'!$L$7:$L$205,A5-7+1),INDEX('Commission Data — Presales'!$L$7:$L$205,A5-7+1)),"")</f>
        <v>0</v>
      </c>
      <c r="I5" s="195">
        <f>IF(A5&lt;&gt;"",IF(OR(N5="S",N5="M",N5="G",N5="D"),INDEX('Commission Data — Sales'!$M$7:$M$205,A5-7+1),INDEX('Commission Data — Presales'!$M$7:$M$205,A5-7+1)),0)</f>
        <v>0</v>
      </c>
      <c r="J5" s="196">
        <f>IF(A5&lt;&gt;"",IF(N5="M",Config!$C$22,IF(N5="G",Config!$C$23,IF(N5="D",Config!$C$24,IF(N5="S",IFERROR(IF(INDEX('Commission Data — Sales'!$O$7:$O$205,A5-7+1)=$D$2,INDEX('Commission Data — Sales'!$Q$7:$Q$205,A5-7+1)*INDEX('Commission Data — Sales'!$P$7:$P$205,A5-7+1),IF(INDEX('Commission Data — Sales'!$S$7:$S$205,A5-7+1)=$D$2,INDEX('Commission Data — Sales'!$U$7:$U$205,A5-7+1)*INDEX('Commission Data — Sales'!$T$7:$T$205,A5-7+1),INDEX('Commission Data — Sales'!$Y$7:$Y$205,A5-7+1)*INDEX('Commission Data — Sales'!$X$7:$X$205,A5-7+1))),0),IFERROR(IF(INDEX('Commission Data — Presales'!$N$7:$N$205,A5-7+1)=$D$2,Config!$C$25*INDEX('Commission Data — Presales'!$O$7:$O$205,A5-7+1),IF(INDEX('Commission Data — Presales'!$Q$7:$Q$205,A5-7+1)=$D$2,Config!$C$25*INDEX('Commission Data — Presales'!$R$7:$R$205,A5-7+1),Config!$C$25*INDEX('Commission Data — Presales'!$U$7:$U$205,A5-7+1))),0))))),"")</f>
        <v>0</v>
      </c>
      <c r="K5" s="197">
        <f>IF(A5&lt;&gt;"",IF(N5="M",IFERROR(INDEX('Commission Data — Sales'!$AB$7:$AB$205,A5-7+1),0),IF(N5="G",IFERROR(INDEX('Commission Data — Sales'!$AD$7:$AD$205,A5-7+1),0),IF(N5="D",IFERROR(INDEX('Commission Data — Sales'!$AF$7:$AF$205,A5-7+1),0),IF(N5="S",IFERROR(IF(INDEX('Commission Data — Sales'!$O$7:$O$205,A5-7+1)=$D$2,INDEX('Commission Data — Sales'!$R$7:$R$205,A5-7+1),0)+IF(INDEX('Commission Data — Sales'!$S$7:$S$205,A5-7+1)=$D$2,INDEX('Commission Data — Sales'!$V$7:$V$205,A5-7+1),0)+IF(INDEX('Commission Data — Sales'!$W$7:$W$205,A5-7+1)=$D$2,INDEX('Commission Data — Sales'!$Z$7:$Z$205,A5-7+1),0),0),IFERROR(IF(INDEX('Commission Data — Presales'!$N$7:$N$205,A5-7+1)=$D$2,INDEX('Commission Data — Presales'!$P$7:$P$205,A5-7+1),0)+IF(INDEX('Commission Data — Presales'!$Q$7:$Q$205,A5-7+1)=$D$2,INDEX('Commission Data — Presales'!$S$7:$S$205,A5-7+1),0)+IF(INDEX('Commission Data — Presales'!$T$7:$T$205,A5-7+1)=$D$2,INDEX('Commission Data — Presales'!$V$7:$V$205,A5-7+1),0),0))))),"")</f>
        <v>0</v>
      </c>
      <c r="L5" s="155">
        <f>IF(A5&lt;&gt;"",IF(N5="M",IFERROR(INDEX('Commission Data — Sales'!$AB$7:$AB$205,A5-7+1),0),IF(N5="G",IFERROR(INDEX('Commission Data — Sales'!$AD$7:$AD$205,A5-7+1),0),IF(N5="D",IFERROR(INDEX('Commission Data — Sales'!$AF$7:$AF$205,A5-7+1),0),IF(N5="S",IFERROR(IF(INDEX('Commission Data — Sales'!$O$7:$O$205,A5-7+1)=$D$2,INDEX('Commission Data — Sales'!$AQ$7:$AQ$205,A5-7+1),0)+IF(INDEX('Commission Data — Sales'!$S$7:$S$205,A5-7+1)=$D$2,INDEX('Commission Data — Sales'!$AR$7:$AR$205,A5-7+1),0)+IF(INDEX('Commission Data — Sales'!$W$7:$W$205,A5-7+1)=$D$2,INDEX('Commission Data — Sales'!$AS$7:$AS$205,A5-7+1),0),0),IFERROR(IF(INDEX('Commission Data — Presales'!$N$7:$N$205,A5-7+1)=$D$2,INDEX('Commission Data — Presales'!$P$7:$P$205,A5-7+1),0)+IF(INDEX('Commission Data — Presales'!$Q$7:$Q$205,A5-7+1)=$D$2,INDEX('Commission Data — Presales'!$S$7:$S$205,A5-7+1),0)+IF(INDEX('Commission Data — Presales'!$T$7:$T$205,A5-7+1)=$D$2,INDEX('Commission Data — Presales'!$V$7:$V$205,A5-7+1),0),0))))),"")</f>
        <v>0</v>
      </c>
      <c r="M5" s="198" t="str">
        <f>IF(A5&lt;&gt;"",IF(N5="M","PM — Umbrella Contract | rate: "&amp;TEXT(Config!$C$22,"0.0%"),IF(N5="G","Manager commission (0.7%)",IF(N5="D","Director commission (0.3%)",IF(N5="S",IFERROR(IF(INDEX('Commission Data — Sales'!$N$7:$N$205,A5-7+1)="Umbrella Contract","Umbrella Contract — your rate: "&amp;TEXT(Config!$C$21,"0.0%")&amp;IF(INDEX('Commission Data — Sales'!$AA$7:$AA$205,A5-7+1)&lt;&gt;""," | PM: "&amp;INDEX('Commission Data — Sales'!$AA$7:$AA$205,A5-7+1)&amp;" ("&amp;TEXT(Config!$C$22,"0.0%")&amp;")",""),IF(INDEX('Commission Data — Sales'!$O$7:$O$205,A5-7+1)=$D$2,IF(AND(INDEX('Commission Data — Sales'!$S$7:$S$205,A5-7+1)="",,INDEX('Commission Data — Sales'!$W$7:$W$205,A5-7+1)=""),"Sole PIC (100%)","Shared — your share: "&amp;TEXT(INDEX('Commission Data — Sales'!$P$7:$P$205,A5-7+1),"0%")),IF(INDEX('Commission Data — Sales'!$S$7:$S$205,A5-7+1)=$D$2,"Shared — your share: "&amp;TEXT(INDEX('Commission Data — Sales'!$T$7:$T$205,A5-7+1),"0%"),"Shared — your share: "&amp;TEXT(INDEX('Commission Data — Sales'!$X$7:$X$205,A5-7+1),"0%")))),""),IFERROR(IF(INDEX('Commission Data — Presales'!$N$7:$N$205,A5-7+1)=$D$2,IF(AND(INDEX('Commission Data — Presales'!$Q$7:$Q$205,A5-7+1)="",INDEX('Commission Data — Presales'!$T$7:$T$205,A5-7+1)=""),"Sole Presales (100%)","Shared — your share: "&amp;TEXT(INDEX('Commission Data — Presales'!$O$7:$O$205,A5-7+1),"0%")),IF(INDEX('Commission Data — Presales'!$Q$7:$Q$205,A5-7+1)=$D$2,"Shared — your share: "&amp;TEXT(INDEX('Commission Data — Presales'!$R$7:$R$205,A5-7+1),"0%"),"Shared — your share: "&amp;TEXT(INDEX('Commission Data — Presales'!$U$7:$U$205,A5-7+1),"0%"))),""))))),"")</f>
        <v>Shared — your share: 0%</v>
      </c>
      <c r="N5" t="str">
        <f>IFERROR(IF(INDEX(O4:O258,MATCH($D$2,O4:O258,0)+0)=$D$2,INDEX(P4:P258,MATCH($D$2,O4:O258,0)+0),""),"")</f>
        <v>P</v>
      </c>
      <c r="O5" t="s">
        <v>168</v>
      </c>
      <c r="P5" t="s">
        <v>311</v>
      </c>
      <c r="Q5">
        <v>24</v>
      </c>
      <c r="R5" t="s">
        <v>169</v>
      </c>
    </row>
    <row r="6" spans="1:18" ht="18" customHeight="1" x14ac:dyDescent="0.45">
      <c r="A6" s="83">
        <f>IFERROR(IF(INDEX(O4:O258,MATCH($D$2,O4:O258,0)+1)=$D$2,INDEX(Q4:Q258,MATCH($D$2,O4:O258,0)+1),""),"")</f>
        <v>62</v>
      </c>
      <c r="B6" s="199">
        <f>IF(A6&lt;&gt;"",IF(OR(N6="S",N6="M",N6="G",N6="D"),INDEX('Commission Data — Sales'!$C$7:$C$205,A6-7+1),INDEX('Commission Data — Presales'!$C$7:$C$205,A6-7+1)),"")</f>
        <v>0</v>
      </c>
      <c r="C6" s="199">
        <f>IF(A6&lt;&gt;"",IF(OR(N6="S",N6="M",N6="G",N6="D"),INDEX('Commission Data — Sales'!$D$7:$D$205,A6-7+1),INDEX('Commission Data — Presales'!$D$7:$D$205,A6-7+1)),"")</f>
        <v>0</v>
      </c>
      <c r="D6" s="199">
        <f>IF(A6&lt;&gt;"",IF(OR(N6="S",N6="M",N6="G",N6="D"),INDEX('Commission Data — Sales'!$E$7:$E$205,A6-7+1),INDEX('Commission Data — Presales'!$E$7:$E$205,A6-7+1)),"")</f>
        <v>0</v>
      </c>
      <c r="E6" s="199">
        <f>IF(A6&lt;&gt;"",IF(OR(N6="S",N6="M",N6="G",N6="D"),INDEX('Commission Data — Sales'!$G$7:$G$205,A6-7+1),INDEX('Commission Data — Presales'!$G$7:$G$205,A6-7+1)),"")</f>
        <v>0</v>
      </c>
      <c r="F6" s="200">
        <f>IF(A6&lt;&gt;"",IF(OR(N6="S",N6="M",N6="G",N6="D"),INDEX('Commission Data — Sales'!$H$7:$H$205,A6-7+1),INDEX('Commission Data — Presales'!$H$7:$H$205,A6-7+1)),"")</f>
        <v>0</v>
      </c>
      <c r="G6" s="201" t="str">
        <f>IF(A6&lt;&gt;"",IF(OR(N6="S",N6="M",N6="G",N6="D"),INDEX('Commission Data — Sales'!$N$7:$N$205,A6-7+1),"Presales"),"")</f>
        <v>Presales</v>
      </c>
      <c r="H6" s="202">
        <f>IF(A6&lt;&gt;"",IF(OR(N6="S",N6="M",N6="G",N6="D"),INDEX('Commission Data — Sales'!$L$7:$L$205,A6-7+1),INDEX('Commission Data — Presales'!$L$7:$L$205,A6-7+1)),"")</f>
        <v>0</v>
      </c>
      <c r="I6" s="203">
        <f>IF(A6&lt;&gt;"",IF(OR(N6="S",N6="M",N6="G",N6="D"),INDEX('Commission Data — Sales'!$M$7:$M$205,A6-7+1),INDEX('Commission Data — Presales'!$M$7:$M$205,A6-7+1)),0)</f>
        <v>0</v>
      </c>
      <c r="J6" s="204">
        <f>IF(A6&lt;&gt;"",IF(N6="M",Config!$C$22,IF(N6="G",Config!$C$23,IF(N6="D",Config!$C$24,IF(N6="S",IFERROR(IF(INDEX('Commission Data — Sales'!$O$7:$O$205,A6-7+1)=$D$2,INDEX('Commission Data — Sales'!$Q$7:$Q$205,A6-7+1)*INDEX('Commission Data — Sales'!$P$7:$P$205,A6-7+1),IF(INDEX('Commission Data — Sales'!$S$7:$S$205,A6-7+1)=$D$2,INDEX('Commission Data — Sales'!$U$7:$U$205,A6-7+1)*INDEX('Commission Data — Sales'!$T$7:$T$205,A6-7+1),INDEX('Commission Data — Sales'!$Y$7:$Y$205,A6-7+1)*INDEX('Commission Data — Sales'!$X$7:$X$205,A6-7+1))),0),IFERROR(IF(INDEX('Commission Data — Presales'!$N$7:$N$205,A6-7+1)=$D$2,Config!$C$25*INDEX('Commission Data — Presales'!$O$7:$O$205,A6-7+1),IF(INDEX('Commission Data — Presales'!$Q$7:$Q$205,A6-7+1)=$D$2,Config!$C$25*INDEX('Commission Data — Presales'!$R$7:$R$205,A6-7+1),Config!$C$25*INDEX('Commission Data — Presales'!$U$7:$U$205,A6-7+1))),0))))),"")</f>
        <v>0</v>
      </c>
      <c r="K6" s="205">
        <f>IF(A6&lt;&gt;"",IF(N6="M",IFERROR(INDEX('Commission Data — Sales'!$AB$7:$AB$205,A6-7+1),0),IF(N6="G",IFERROR(INDEX('Commission Data — Sales'!$AD$7:$AD$205,A6-7+1),0),IF(N6="D",IFERROR(INDEX('Commission Data — Sales'!$AF$7:$AF$205,A6-7+1),0),IF(N6="S",IFERROR(IF(INDEX('Commission Data — Sales'!$O$7:$O$205,A6-7+1)=$D$2,INDEX('Commission Data — Sales'!$R$7:$R$205,A6-7+1),0)+IF(INDEX('Commission Data — Sales'!$S$7:$S$205,A6-7+1)=$D$2,INDEX('Commission Data — Sales'!$V$7:$V$205,A6-7+1),0)+IF(INDEX('Commission Data — Sales'!$W$7:$W$205,A6-7+1)=$D$2,INDEX('Commission Data — Sales'!$Z$7:$Z$205,A6-7+1),0),0),IFERROR(IF(INDEX('Commission Data — Presales'!$N$7:$N$205,A6-7+1)=$D$2,INDEX('Commission Data — Presales'!$P$7:$P$205,A6-7+1),0)+IF(INDEX('Commission Data — Presales'!$Q$7:$Q$205,A6-7+1)=$D$2,INDEX('Commission Data — Presales'!$S$7:$S$205,A6-7+1),0)+IF(INDEX('Commission Data — Presales'!$T$7:$T$205,A6-7+1)=$D$2,INDEX('Commission Data — Presales'!$V$7:$V$205,A6-7+1),0),0))))),"")</f>
        <v>0</v>
      </c>
      <c r="L6" s="163">
        <f>IF(A6&lt;&gt;"",IF(N6="M",IFERROR(INDEX('Commission Data — Sales'!$AB$7:$AB$205,A6-7+1),0),IF(N6="G",IFERROR(INDEX('Commission Data — Sales'!$AD$7:$AD$205,A6-7+1),0),IF(N6="D",IFERROR(INDEX('Commission Data — Sales'!$AF$7:$AF$205,A6-7+1),0),IF(N6="S",IFERROR(IF(INDEX('Commission Data — Sales'!$O$7:$O$205,A6-7+1)=$D$2,INDEX('Commission Data — Sales'!$AQ$7:$AQ$205,A6-7+1),0)+IF(INDEX('Commission Data — Sales'!$S$7:$S$205,A6-7+1)=$D$2,INDEX('Commission Data — Sales'!$AR$7:$AR$205,A6-7+1),0)+IF(INDEX('Commission Data — Sales'!$W$7:$W$205,A6-7+1)=$D$2,INDEX('Commission Data — Sales'!$AS$7:$AS$205,A6-7+1),0),0),IFERROR(IF(INDEX('Commission Data — Presales'!$N$7:$N$205,A6-7+1)=$D$2,INDEX('Commission Data — Presales'!$P$7:$P$205,A6-7+1),0)+IF(INDEX('Commission Data — Presales'!$Q$7:$Q$205,A6-7+1)=$D$2,INDEX('Commission Data — Presales'!$S$7:$S$205,A6-7+1),0)+IF(INDEX('Commission Data — Presales'!$T$7:$T$205,A6-7+1)=$D$2,INDEX('Commission Data — Presales'!$V$7:$V$205,A6-7+1),0),0))))),"")</f>
        <v>0</v>
      </c>
      <c r="M6" s="206" t="str">
        <f>IF(A6&lt;&gt;"",IF(N6="M","PM — Umbrella Contract | rate: "&amp;TEXT(Config!$C$22,"0.0%"),IF(N6="G","Manager commission (0.7%)",IF(N6="D","Director commission (0.3%)",IF(N6="S",IFERROR(IF(INDEX('Commission Data — Sales'!$N$7:$N$205,A6-7+1)="Umbrella Contract","Umbrella Contract — your rate: "&amp;TEXT(Config!$C$21,"0.0%")&amp;IF(INDEX('Commission Data — Sales'!$AA$7:$AA$205,A6-7+1)&lt;&gt;""," | PM: "&amp;INDEX('Commission Data — Sales'!$AA$7:$AA$205,A6-7+1)&amp;" ("&amp;TEXT(Config!$C$22,"0.0%")&amp;")",""),IF(INDEX('Commission Data — Sales'!$O$7:$O$205,A6-7+1)=$D$2,IF(AND(INDEX('Commission Data — Sales'!$S$7:$S$205,A6-7+1)="",,INDEX('Commission Data — Sales'!$W$7:$W$205,A6-7+1)=""),"Sole PIC (100%)","Shared — your share: "&amp;TEXT(INDEX('Commission Data — Sales'!$P$7:$P$205,A6-7+1),"0%")),IF(INDEX('Commission Data — Sales'!$S$7:$S$205,A6-7+1)=$D$2,"Shared — your share: "&amp;TEXT(INDEX('Commission Data — Sales'!$T$7:$T$205,A6-7+1),"0%"),"Shared — your share: "&amp;TEXT(INDEX('Commission Data — Sales'!$X$7:$X$205,A6-7+1),"0%")))),""),IFERROR(IF(INDEX('Commission Data — Presales'!$N$7:$N$205,A6-7+1)=$D$2,IF(AND(INDEX('Commission Data — Presales'!$Q$7:$Q$205,A6-7+1)="",INDEX('Commission Data — Presales'!$T$7:$T$205,A6-7+1)=""),"Sole Presales (100%)","Shared — your share: "&amp;TEXT(INDEX('Commission Data — Presales'!$O$7:$O$205,A6-7+1),"0%")),IF(INDEX('Commission Data — Presales'!$Q$7:$Q$205,A6-7+1)=$D$2,"Shared — your share: "&amp;TEXT(INDEX('Commission Data — Presales'!$R$7:$R$205,A6-7+1),"0%"),"Shared — your share: "&amp;TEXT(INDEX('Commission Data — Presales'!$U$7:$U$205,A6-7+1),"0%"))),""))))),"")</f>
        <v>Shared — your share: 0%</v>
      </c>
      <c r="N6" t="str">
        <f>IFERROR(IF(INDEX(O4:O258,MATCH($D$2,O4:O258,0)+1)=$D$2,INDEX(P4:P258,MATCH($D$2,O4:O258,0)+1),""),"")</f>
        <v>P</v>
      </c>
      <c r="O6" t="s">
        <v>168</v>
      </c>
      <c r="P6" t="s">
        <v>311</v>
      </c>
      <c r="Q6">
        <v>25</v>
      </c>
      <c r="R6" t="s">
        <v>151</v>
      </c>
    </row>
    <row r="7" spans="1:18" ht="18" customHeight="1" x14ac:dyDescent="0.45">
      <c r="A7" s="83">
        <f>IFERROR(IF(INDEX(O4:O258,MATCH($D$2,O4:O258,0)+2)=$D$2,INDEX(Q4:Q258,MATCH($D$2,O4:O258,0)+2),""),"")</f>
        <v>63</v>
      </c>
      <c r="B7" s="191">
        <f>IF(A7&lt;&gt;"",IF(OR(N7="S",N7="M",N7="G",N7="D"),INDEX('Commission Data — Sales'!$C$7:$C$205,A7-7+1),INDEX('Commission Data — Presales'!$C$7:$C$205,A7-7+1)),"")</f>
        <v>0</v>
      </c>
      <c r="C7" s="191">
        <f>IF(A7&lt;&gt;"",IF(OR(N7="S",N7="M",N7="G",N7="D"),INDEX('Commission Data — Sales'!$D$7:$D$205,A7-7+1),INDEX('Commission Data — Presales'!$D$7:$D$205,A7-7+1)),"")</f>
        <v>0</v>
      </c>
      <c r="D7" s="191">
        <f>IF(A7&lt;&gt;"",IF(OR(N7="S",N7="M",N7="G",N7="D"),INDEX('Commission Data — Sales'!$E$7:$E$205,A7-7+1),INDEX('Commission Data — Presales'!$E$7:$E$205,A7-7+1)),"")</f>
        <v>0</v>
      </c>
      <c r="E7" s="191">
        <f>IF(A7&lt;&gt;"",IF(OR(N7="S",N7="M",N7="G",N7="D"),INDEX('Commission Data — Sales'!$G$7:$G$205,A7-7+1),INDEX('Commission Data — Presales'!$G$7:$G$205,A7-7+1)),"")</f>
        <v>0</v>
      </c>
      <c r="F7" s="192">
        <f>IF(A7&lt;&gt;"",IF(OR(N7="S",N7="M",N7="G",N7="D"),INDEX('Commission Data — Sales'!$H$7:$H$205,A7-7+1),INDEX('Commission Data — Presales'!$H$7:$H$205,A7-7+1)),"")</f>
        <v>0</v>
      </c>
      <c r="G7" s="193" t="str">
        <f>IF(A7&lt;&gt;"",IF(OR(N7="S",N7="M",N7="G",N7="D"),INDEX('Commission Data — Sales'!$N$7:$N$205,A7-7+1),"Presales"),"")</f>
        <v>Presales</v>
      </c>
      <c r="H7" s="194">
        <f>IF(A7&lt;&gt;"",IF(OR(N7="S",N7="M",N7="G",N7="D"),INDEX('Commission Data — Sales'!$L$7:$L$205,A7-7+1),INDEX('Commission Data — Presales'!$L$7:$L$205,A7-7+1)),"")</f>
        <v>0</v>
      </c>
      <c r="I7" s="195">
        <f>IF(A7&lt;&gt;"",IF(OR(N7="S",N7="M",N7="G",N7="D"),INDEX('Commission Data — Sales'!$M$7:$M$205,A7-7+1),INDEX('Commission Data — Presales'!$M$7:$M$205,A7-7+1)),0)</f>
        <v>0</v>
      </c>
      <c r="J7" s="196">
        <f>IF(A7&lt;&gt;"",IF(N7="M",Config!$C$22,IF(N7="G",Config!$C$23,IF(N7="D",Config!$C$24,IF(N7="S",IFERROR(IF(INDEX('Commission Data — Sales'!$O$7:$O$205,A7-7+1)=$D$2,INDEX('Commission Data — Sales'!$Q$7:$Q$205,A7-7+1)*INDEX('Commission Data — Sales'!$P$7:$P$205,A7-7+1),IF(INDEX('Commission Data — Sales'!$S$7:$S$205,A7-7+1)=$D$2,INDEX('Commission Data — Sales'!$U$7:$U$205,A7-7+1)*INDEX('Commission Data — Sales'!$T$7:$T$205,A7-7+1),INDEX('Commission Data — Sales'!$Y$7:$Y$205,A7-7+1)*INDEX('Commission Data — Sales'!$X$7:$X$205,A7-7+1))),0),IFERROR(IF(INDEX('Commission Data — Presales'!$N$7:$N$205,A7-7+1)=$D$2,Config!$C$25*INDEX('Commission Data — Presales'!$O$7:$O$205,A7-7+1),IF(INDEX('Commission Data — Presales'!$Q$7:$Q$205,A7-7+1)=$D$2,Config!$C$25*INDEX('Commission Data — Presales'!$R$7:$R$205,A7-7+1),Config!$C$25*INDEX('Commission Data — Presales'!$U$7:$U$205,A7-7+1))),0))))),"")</f>
        <v>0</v>
      </c>
      <c r="K7" s="197">
        <f>IF(A7&lt;&gt;"",IF(N7="M",IFERROR(INDEX('Commission Data — Sales'!$AB$7:$AB$205,A7-7+1),0),IF(N7="G",IFERROR(INDEX('Commission Data — Sales'!$AD$7:$AD$205,A7-7+1),0),IF(N7="D",IFERROR(INDEX('Commission Data — Sales'!$AF$7:$AF$205,A7-7+1),0),IF(N7="S",IFERROR(IF(INDEX('Commission Data — Sales'!$O$7:$O$205,A7-7+1)=$D$2,INDEX('Commission Data — Sales'!$R$7:$R$205,A7-7+1),0)+IF(INDEX('Commission Data — Sales'!$S$7:$S$205,A7-7+1)=$D$2,INDEX('Commission Data — Sales'!$V$7:$V$205,A7-7+1),0)+IF(INDEX('Commission Data — Sales'!$W$7:$W$205,A7-7+1)=$D$2,INDEX('Commission Data — Sales'!$Z$7:$Z$205,A7-7+1),0),0),IFERROR(IF(INDEX('Commission Data — Presales'!$N$7:$N$205,A7-7+1)=$D$2,INDEX('Commission Data — Presales'!$P$7:$P$205,A7-7+1),0)+IF(INDEX('Commission Data — Presales'!$Q$7:$Q$205,A7-7+1)=$D$2,INDEX('Commission Data — Presales'!$S$7:$S$205,A7-7+1),0)+IF(INDEX('Commission Data — Presales'!$T$7:$T$205,A7-7+1)=$D$2,INDEX('Commission Data — Presales'!$V$7:$V$205,A7-7+1),0),0))))),"")</f>
        <v>0</v>
      </c>
      <c r="L7" s="155">
        <f>IF(A7&lt;&gt;"",IF(N7="M",IFERROR(INDEX('Commission Data — Sales'!$AB$7:$AB$205,A7-7+1),0),IF(N7="G",IFERROR(INDEX('Commission Data — Sales'!$AD$7:$AD$205,A7-7+1),0),IF(N7="D",IFERROR(INDEX('Commission Data — Sales'!$AF$7:$AF$205,A7-7+1),0),IF(N7="S",IFERROR(IF(INDEX('Commission Data — Sales'!$O$7:$O$205,A7-7+1)=$D$2,INDEX('Commission Data — Sales'!$AQ$7:$AQ$205,A7-7+1),0)+IF(INDEX('Commission Data — Sales'!$S$7:$S$205,A7-7+1)=$D$2,INDEX('Commission Data — Sales'!$AR$7:$AR$205,A7-7+1),0)+IF(INDEX('Commission Data — Sales'!$W$7:$W$205,A7-7+1)=$D$2,INDEX('Commission Data — Sales'!$AS$7:$AS$205,A7-7+1),0),0),IFERROR(IF(INDEX('Commission Data — Presales'!$N$7:$N$205,A7-7+1)=$D$2,INDEX('Commission Data — Presales'!$P$7:$P$205,A7-7+1),0)+IF(INDEX('Commission Data — Presales'!$Q$7:$Q$205,A7-7+1)=$D$2,INDEX('Commission Data — Presales'!$S$7:$S$205,A7-7+1),0)+IF(INDEX('Commission Data — Presales'!$T$7:$T$205,A7-7+1)=$D$2,INDEX('Commission Data — Presales'!$V$7:$V$205,A7-7+1),0),0))))),"")</f>
        <v>0</v>
      </c>
      <c r="M7" s="198" t="str">
        <f>IF(A7&lt;&gt;"",IF(N7="M","PM — Umbrella Contract | rate: "&amp;TEXT(Config!$C$22,"0.0%"),IF(N7="G","Manager commission (0.7%)",IF(N7="D","Director commission (0.3%)",IF(N7="S",IFERROR(IF(INDEX('Commission Data — Sales'!$N$7:$N$205,A7-7+1)="Umbrella Contract","Umbrella Contract — your rate: "&amp;TEXT(Config!$C$21,"0.0%")&amp;IF(INDEX('Commission Data — Sales'!$AA$7:$AA$205,A7-7+1)&lt;&gt;""," | PM: "&amp;INDEX('Commission Data — Sales'!$AA$7:$AA$205,A7-7+1)&amp;" ("&amp;TEXT(Config!$C$22,"0.0%")&amp;")",""),IF(INDEX('Commission Data — Sales'!$O$7:$O$205,A7-7+1)=$D$2,IF(AND(INDEX('Commission Data — Sales'!$S$7:$S$205,A7-7+1)="",,INDEX('Commission Data — Sales'!$W$7:$W$205,A7-7+1)=""),"Sole PIC (100%)","Shared — your share: "&amp;TEXT(INDEX('Commission Data — Sales'!$P$7:$P$205,A7-7+1),"0%")),IF(INDEX('Commission Data — Sales'!$S$7:$S$205,A7-7+1)=$D$2,"Shared — your share: "&amp;TEXT(INDEX('Commission Data — Sales'!$T$7:$T$205,A7-7+1),"0%"),"Shared — your share: "&amp;TEXT(INDEX('Commission Data — Sales'!$X$7:$X$205,A7-7+1),"0%")))),""),IFERROR(IF(INDEX('Commission Data — Presales'!$N$7:$N$205,A7-7+1)=$D$2,IF(AND(INDEX('Commission Data — Presales'!$Q$7:$Q$205,A7-7+1)="",INDEX('Commission Data — Presales'!$T$7:$T$205,A7-7+1)=""),"Sole Presales (100%)","Shared — your share: "&amp;TEXT(INDEX('Commission Data — Presales'!$O$7:$O$205,A7-7+1),"0%")),IF(INDEX('Commission Data — Presales'!$Q$7:$Q$205,A7-7+1)=$D$2,"Shared — your share: "&amp;TEXT(INDEX('Commission Data — Presales'!$R$7:$R$205,A7-7+1),"0%"),"Shared — your share: "&amp;TEXT(INDEX('Commission Data — Presales'!$U$7:$U$205,A7-7+1),"0%"))),""))))),"")</f>
        <v>Shared — your share: 0%</v>
      </c>
      <c r="N7" t="str">
        <f>IFERROR(IF(INDEX(O4:O258,MATCH($D$2,O4:O258,0)+2)=$D$2,INDEX(P4:P258,MATCH($D$2,O4:O258,0)+2),""),"")</f>
        <v>P</v>
      </c>
      <c r="O7" t="s">
        <v>168</v>
      </c>
      <c r="P7" t="s">
        <v>311</v>
      </c>
      <c r="Q7">
        <v>26</v>
      </c>
      <c r="R7" t="s">
        <v>154</v>
      </c>
    </row>
    <row r="8" spans="1:18" ht="18" customHeight="1" x14ac:dyDescent="0.45">
      <c r="A8" s="83" t="str">
        <f>IFERROR(IF(INDEX(O4:O258,MATCH($D$2,O4:O258,0)+3)=$D$2,INDEX(Q4:Q258,MATCH($D$2,O4:O258,0)+3),""),"")</f>
        <v/>
      </c>
      <c r="B8" s="199" t="str">
        <f>IF(A8&lt;&gt;"",IF(OR(N8="S",N8="M",N8="G",N8="D"),INDEX('Commission Data — Sales'!$C$7:$C$205,A8-7+1),INDEX('Commission Data — Presales'!$C$7:$C$205,A8-7+1)),"")</f>
        <v/>
      </c>
      <c r="C8" s="199" t="str">
        <f>IF(A8&lt;&gt;"",IF(OR(N8="S",N8="M",N8="G",N8="D"),INDEX('Commission Data — Sales'!$D$7:$D$205,A8-7+1),INDEX('Commission Data — Presales'!$D$7:$D$205,A8-7+1)),"")</f>
        <v/>
      </c>
      <c r="D8" s="199" t="str">
        <f>IF(A8&lt;&gt;"",IF(OR(N8="S",N8="M",N8="G",N8="D"),INDEX('Commission Data — Sales'!$E$7:$E$205,A8-7+1),INDEX('Commission Data — Presales'!$E$7:$E$205,A8-7+1)),"")</f>
        <v/>
      </c>
      <c r="E8" s="199" t="str">
        <f>IF(A8&lt;&gt;"",IF(OR(N8="S",N8="M",N8="G",N8="D"),INDEX('Commission Data — Sales'!$G$7:$G$205,A8-7+1),INDEX('Commission Data — Presales'!$G$7:$G$205,A8-7+1)),"")</f>
        <v/>
      </c>
      <c r="F8" s="200" t="str">
        <f>IF(A8&lt;&gt;"",IF(OR(N8="S",N8="M",N8="G",N8="D"),INDEX('Commission Data — Sales'!$H$7:$H$205,A8-7+1),INDEX('Commission Data — Presales'!$H$7:$H$205,A8-7+1)),"")</f>
        <v/>
      </c>
      <c r="G8" s="201" t="str">
        <f>IF(A8&lt;&gt;"",IF(OR(N8="S",N8="M",N8="G",N8="D"),INDEX('Commission Data — Sales'!$N$7:$N$205,A8-7+1),"Presales"),"")</f>
        <v/>
      </c>
      <c r="H8" s="202" t="str">
        <f>IF(A8&lt;&gt;"",IF(OR(N8="S",N8="M",N8="G",N8="D"),INDEX('Commission Data — Sales'!$L$7:$L$205,A8-7+1),INDEX('Commission Data — Presales'!$L$7:$L$205,A8-7+1)),"")</f>
        <v/>
      </c>
      <c r="I8" s="203">
        <f>IF(A8&lt;&gt;"",IF(OR(N8="S",N8="M",N8="G",N8="D"),INDEX('Commission Data — Sales'!$M$7:$M$205,A8-7+1),INDEX('Commission Data — Presales'!$M$7:$M$205,A8-7+1)),0)</f>
        <v>0</v>
      </c>
      <c r="J8" s="204" t="str">
        <f>IF(A8&lt;&gt;"",IF(N8="M",Config!$C$22,IF(N8="G",Config!$C$23,IF(N8="D",Config!$C$24,IF(N8="S",IFERROR(IF(INDEX('Commission Data — Sales'!$O$7:$O$205,A8-7+1)=$D$2,INDEX('Commission Data — Sales'!$Q$7:$Q$205,A8-7+1)*INDEX('Commission Data — Sales'!$P$7:$P$205,A8-7+1),IF(INDEX('Commission Data — Sales'!$S$7:$S$205,A8-7+1)=$D$2,INDEX('Commission Data — Sales'!$U$7:$U$205,A8-7+1)*INDEX('Commission Data — Sales'!$T$7:$T$205,A8-7+1),INDEX('Commission Data — Sales'!$Y$7:$Y$205,A8-7+1)*INDEX('Commission Data — Sales'!$X$7:$X$205,A8-7+1))),0),IFERROR(IF(INDEX('Commission Data — Presales'!$N$7:$N$205,A8-7+1)=$D$2,Config!$C$25*INDEX('Commission Data — Presales'!$O$7:$O$205,A8-7+1),IF(INDEX('Commission Data — Presales'!$Q$7:$Q$205,A8-7+1)=$D$2,Config!$C$25*INDEX('Commission Data — Presales'!$R$7:$R$205,A8-7+1),Config!$C$25*INDEX('Commission Data — Presales'!$U$7:$U$205,A8-7+1))),0))))),"")</f>
        <v/>
      </c>
      <c r="K8" s="205" t="str">
        <f>IF(A8&lt;&gt;"",IF(N8="M",IFERROR(INDEX('Commission Data — Sales'!$AB$7:$AB$205,A8-7+1),0),IF(N8="G",IFERROR(INDEX('Commission Data — Sales'!$AD$7:$AD$205,A8-7+1),0),IF(N8="D",IFERROR(INDEX('Commission Data — Sales'!$AF$7:$AF$205,A8-7+1),0),IF(N8="S",IFERROR(IF(INDEX('Commission Data — Sales'!$O$7:$O$205,A8-7+1)=$D$2,INDEX('Commission Data — Sales'!$R$7:$R$205,A8-7+1),0)+IF(INDEX('Commission Data — Sales'!$S$7:$S$205,A8-7+1)=$D$2,INDEX('Commission Data — Sales'!$V$7:$V$205,A8-7+1),0)+IF(INDEX('Commission Data — Sales'!$W$7:$W$205,A8-7+1)=$D$2,INDEX('Commission Data — Sales'!$Z$7:$Z$205,A8-7+1),0),0),IFERROR(IF(INDEX('Commission Data — Presales'!$N$7:$N$205,A8-7+1)=$D$2,INDEX('Commission Data — Presales'!$P$7:$P$205,A8-7+1),0)+IF(INDEX('Commission Data — Presales'!$Q$7:$Q$205,A8-7+1)=$D$2,INDEX('Commission Data — Presales'!$S$7:$S$205,A8-7+1),0)+IF(INDEX('Commission Data — Presales'!$T$7:$T$205,A8-7+1)=$D$2,INDEX('Commission Data — Presales'!$V$7:$V$205,A8-7+1),0),0))))),"")</f>
        <v/>
      </c>
      <c r="L8" s="163" t="str">
        <f>IF(A8&lt;&gt;"",IF(N8="M",IFERROR(INDEX('Commission Data — Sales'!$AB$7:$AB$205,A8-7+1),0),IF(N8="G",IFERROR(INDEX('Commission Data — Sales'!$AD$7:$AD$205,A8-7+1),0),IF(N8="D",IFERROR(INDEX('Commission Data — Sales'!$AF$7:$AF$205,A8-7+1),0),IF(N8="S",IFERROR(IF(INDEX('Commission Data — Sales'!$O$7:$O$205,A8-7+1)=$D$2,INDEX('Commission Data — Sales'!$AQ$7:$AQ$205,A8-7+1),0)+IF(INDEX('Commission Data — Sales'!$S$7:$S$205,A8-7+1)=$D$2,INDEX('Commission Data — Sales'!$AR$7:$AR$205,A8-7+1),0)+IF(INDEX('Commission Data — Sales'!$W$7:$W$205,A8-7+1)=$D$2,INDEX('Commission Data — Sales'!$AS$7:$AS$205,A8-7+1),0),0),IFERROR(IF(INDEX('Commission Data — Presales'!$N$7:$N$205,A8-7+1)=$D$2,INDEX('Commission Data — Presales'!$P$7:$P$205,A8-7+1),0)+IF(INDEX('Commission Data — Presales'!$Q$7:$Q$205,A8-7+1)=$D$2,INDEX('Commission Data — Presales'!$S$7:$S$205,A8-7+1),0)+IF(INDEX('Commission Data — Presales'!$T$7:$T$205,A8-7+1)=$D$2,INDEX('Commission Data — Presales'!$V$7:$V$205,A8-7+1),0),0))))),"")</f>
        <v/>
      </c>
      <c r="M8" s="206" t="str">
        <f>IF(A8&lt;&gt;"",IF(N8="M","PM — Umbrella Contract | rate: "&amp;TEXT(Config!$C$22,"0.0%"),IF(N8="G","Manager commission (0.7%)",IF(N8="D","Director commission (0.3%)",IF(N8="S",IFERROR(IF(INDEX('Commission Data — Sales'!$N$7:$N$205,A8-7+1)="Umbrella Contract","Umbrella Contract — your rate: "&amp;TEXT(Config!$C$21,"0.0%")&amp;IF(INDEX('Commission Data — Sales'!$AA$7:$AA$205,A8-7+1)&lt;&gt;""," | PM: "&amp;INDEX('Commission Data — Sales'!$AA$7:$AA$205,A8-7+1)&amp;" ("&amp;TEXT(Config!$C$22,"0.0%")&amp;")",""),IF(INDEX('Commission Data — Sales'!$O$7:$O$205,A8-7+1)=$D$2,IF(AND(INDEX('Commission Data — Sales'!$S$7:$S$205,A8-7+1)="",,INDEX('Commission Data — Sales'!$W$7:$W$205,A8-7+1)=""),"Sole PIC (100%)","Shared — your share: "&amp;TEXT(INDEX('Commission Data — Sales'!$P$7:$P$205,A8-7+1),"0%")),IF(INDEX('Commission Data — Sales'!$S$7:$S$205,A8-7+1)=$D$2,"Shared — your share: "&amp;TEXT(INDEX('Commission Data — Sales'!$T$7:$T$205,A8-7+1),"0%"),"Shared — your share: "&amp;TEXT(INDEX('Commission Data — Sales'!$X$7:$X$205,A8-7+1),"0%")))),""),IFERROR(IF(INDEX('Commission Data — Presales'!$N$7:$N$205,A8-7+1)=$D$2,IF(AND(INDEX('Commission Data — Presales'!$Q$7:$Q$205,A8-7+1)="",INDEX('Commission Data — Presales'!$T$7:$T$205,A8-7+1)=""),"Sole Presales (100%)","Shared — your share: "&amp;TEXT(INDEX('Commission Data — Presales'!$O$7:$O$205,A8-7+1),"0%")),IF(INDEX('Commission Data — Presales'!$Q$7:$Q$205,A8-7+1)=$D$2,"Shared — your share: "&amp;TEXT(INDEX('Commission Data — Presales'!$R$7:$R$205,A8-7+1),"0%"),"Shared — your share: "&amp;TEXT(INDEX('Commission Data — Presales'!$U$7:$U$205,A8-7+1),"0%"))),""))))),"")</f>
        <v/>
      </c>
      <c r="N8" t="str">
        <f>IFERROR(IF(INDEX(O4:O258,MATCH($D$2,O4:O258,0)+3)=$D$2,INDEX(P4:P258,MATCH($D$2,O4:O258,0)+3),""),"")</f>
        <v/>
      </c>
      <c r="O8" t="s">
        <v>168</v>
      </c>
      <c r="P8" t="s">
        <v>311</v>
      </c>
      <c r="Q8">
        <v>27</v>
      </c>
      <c r="R8" t="s">
        <v>147</v>
      </c>
    </row>
    <row r="9" spans="1:18" ht="18" customHeight="1" x14ac:dyDescent="0.45">
      <c r="A9" s="83" t="str">
        <f>IFERROR(IF(INDEX(O4:O258,MATCH($D$2,O4:O258,0)+4)=$D$2,INDEX(Q4:Q258,MATCH($D$2,O4:O258,0)+4),""),"")</f>
        <v/>
      </c>
      <c r="B9" s="191" t="str">
        <f>IF(A9&lt;&gt;"",IF(OR(N9="S",N9="M",N9="G",N9="D"),INDEX('Commission Data — Sales'!$C$7:$C$205,A9-7+1),INDEX('Commission Data — Presales'!$C$7:$C$205,A9-7+1)),"")</f>
        <v/>
      </c>
      <c r="C9" s="191" t="str">
        <f>IF(A9&lt;&gt;"",IF(OR(N9="S",N9="M",N9="G",N9="D"),INDEX('Commission Data — Sales'!$D$7:$D$205,A9-7+1),INDEX('Commission Data — Presales'!$D$7:$D$205,A9-7+1)),"")</f>
        <v/>
      </c>
      <c r="D9" s="191" t="str">
        <f>IF(A9&lt;&gt;"",IF(OR(N9="S",N9="M",N9="G",N9="D"),INDEX('Commission Data — Sales'!$E$7:$E$205,A9-7+1),INDEX('Commission Data — Presales'!$E$7:$E$205,A9-7+1)),"")</f>
        <v/>
      </c>
      <c r="E9" s="191" t="str">
        <f>IF(A9&lt;&gt;"",IF(OR(N9="S",N9="M",N9="G",N9="D"),INDEX('Commission Data — Sales'!$G$7:$G$205,A9-7+1),INDEX('Commission Data — Presales'!$G$7:$G$205,A9-7+1)),"")</f>
        <v/>
      </c>
      <c r="F9" s="192" t="str">
        <f>IF(A9&lt;&gt;"",IF(OR(N9="S",N9="M",N9="G",N9="D"),INDEX('Commission Data — Sales'!$H$7:$H$205,A9-7+1),INDEX('Commission Data — Presales'!$H$7:$H$205,A9-7+1)),"")</f>
        <v/>
      </c>
      <c r="G9" s="193" t="str">
        <f>IF(A9&lt;&gt;"",IF(OR(N9="S",N9="M",N9="G",N9="D"),INDEX('Commission Data — Sales'!$N$7:$N$205,A9-7+1),"Presales"),"")</f>
        <v/>
      </c>
      <c r="H9" s="194" t="str">
        <f>IF(A9&lt;&gt;"",IF(OR(N9="S",N9="M",N9="G",N9="D"),INDEX('Commission Data — Sales'!$L$7:$L$205,A9-7+1),INDEX('Commission Data — Presales'!$L$7:$L$205,A9-7+1)),"")</f>
        <v/>
      </c>
      <c r="I9" s="195">
        <f>IF(A9&lt;&gt;"",IF(OR(N9="S",N9="M",N9="G",N9="D"),INDEX('Commission Data — Sales'!$M$7:$M$205,A9-7+1),INDEX('Commission Data — Presales'!$M$7:$M$205,A9-7+1)),0)</f>
        <v>0</v>
      </c>
      <c r="J9" s="196" t="str">
        <f>IF(A9&lt;&gt;"",IF(N9="M",Config!$C$22,IF(N9="G",Config!$C$23,IF(N9="D",Config!$C$24,IF(N9="S",IFERROR(IF(INDEX('Commission Data — Sales'!$O$7:$O$205,A9-7+1)=$D$2,INDEX('Commission Data — Sales'!$Q$7:$Q$205,A9-7+1)*INDEX('Commission Data — Sales'!$P$7:$P$205,A9-7+1),IF(INDEX('Commission Data — Sales'!$S$7:$S$205,A9-7+1)=$D$2,INDEX('Commission Data — Sales'!$U$7:$U$205,A9-7+1)*INDEX('Commission Data — Sales'!$T$7:$T$205,A9-7+1),INDEX('Commission Data — Sales'!$Y$7:$Y$205,A9-7+1)*INDEX('Commission Data — Sales'!$X$7:$X$205,A9-7+1))),0),IFERROR(IF(INDEX('Commission Data — Presales'!$N$7:$N$205,A9-7+1)=$D$2,Config!$C$25*INDEX('Commission Data — Presales'!$O$7:$O$205,A9-7+1),IF(INDEX('Commission Data — Presales'!$Q$7:$Q$205,A9-7+1)=$D$2,Config!$C$25*INDEX('Commission Data — Presales'!$R$7:$R$205,A9-7+1),Config!$C$25*INDEX('Commission Data — Presales'!$U$7:$U$205,A9-7+1))),0))))),"")</f>
        <v/>
      </c>
      <c r="K9" s="197" t="str">
        <f>IF(A9&lt;&gt;"",IF(N9="M",IFERROR(INDEX('Commission Data — Sales'!$AB$7:$AB$205,A9-7+1),0),IF(N9="G",IFERROR(INDEX('Commission Data — Sales'!$AD$7:$AD$205,A9-7+1),0),IF(N9="D",IFERROR(INDEX('Commission Data — Sales'!$AF$7:$AF$205,A9-7+1),0),IF(N9="S",IFERROR(IF(INDEX('Commission Data — Sales'!$O$7:$O$205,A9-7+1)=$D$2,INDEX('Commission Data — Sales'!$R$7:$R$205,A9-7+1),0)+IF(INDEX('Commission Data — Sales'!$S$7:$S$205,A9-7+1)=$D$2,INDEX('Commission Data — Sales'!$V$7:$V$205,A9-7+1),0)+IF(INDEX('Commission Data — Sales'!$W$7:$W$205,A9-7+1)=$D$2,INDEX('Commission Data — Sales'!$Z$7:$Z$205,A9-7+1),0),0),IFERROR(IF(INDEX('Commission Data — Presales'!$N$7:$N$205,A9-7+1)=$D$2,INDEX('Commission Data — Presales'!$P$7:$P$205,A9-7+1),0)+IF(INDEX('Commission Data — Presales'!$Q$7:$Q$205,A9-7+1)=$D$2,INDEX('Commission Data — Presales'!$S$7:$S$205,A9-7+1),0)+IF(INDEX('Commission Data — Presales'!$T$7:$T$205,A9-7+1)=$D$2,INDEX('Commission Data — Presales'!$V$7:$V$205,A9-7+1),0),0))))),"")</f>
        <v/>
      </c>
      <c r="L9" s="155" t="str">
        <f>IF(A9&lt;&gt;"",IF(N9="M",IFERROR(INDEX('Commission Data — Sales'!$AB$7:$AB$205,A9-7+1),0),IF(N9="G",IFERROR(INDEX('Commission Data — Sales'!$AD$7:$AD$205,A9-7+1),0),IF(N9="D",IFERROR(INDEX('Commission Data — Sales'!$AF$7:$AF$205,A9-7+1),0),IF(N9="S",IFERROR(IF(INDEX('Commission Data — Sales'!$O$7:$O$205,A9-7+1)=$D$2,INDEX('Commission Data — Sales'!$AQ$7:$AQ$205,A9-7+1),0)+IF(INDEX('Commission Data — Sales'!$S$7:$S$205,A9-7+1)=$D$2,INDEX('Commission Data — Sales'!$AR$7:$AR$205,A9-7+1),0)+IF(INDEX('Commission Data — Sales'!$W$7:$W$205,A9-7+1)=$D$2,INDEX('Commission Data — Sales'!$AS$7:$AS$205,A9-7+1),0),0),IFERROR(IF(INDEX('Commission Data — Presales'!$N$7:$N$205,A9-7+1)=$D$2,INDEX('Commission Data — Presales'!$P$7:$P$205,A9-7+1),0)+IF(INDEX('Commission Data — Presales'!$Q$7:$Q$205,A9-7+1)=$D$2,INDEX('Commission Data — Presales'!$S$7:$S$205,A9-7+1),0)+IF(INDEX('Commission Data — Presales'!$T$7:$T$205,A9-7+1)=$D$2,INDEX('Commission Data — Presales'!$V$7:$V$205,A9-7+1),0),0))))),"")</f>
        <v/>
      </c>
      <c r="M9" s="198" t="str">
        <f>IF(A9&lt;&gt;"",IF(N9="M","PM — Umbrella Contract | rate: "&amp;TEXT(Config!$C$22,"0.0%"),IF(N9="G","Manager commission (0.7%)",IF(N9="D","Director commission (0.3%)",IF(N9="S",IFERROR(IF(INDEX('Commission Data — Sales'!$N$7:$N$205,A9-7+1)="Umbrella Contract","Umbrella Contract — your rate: "&amp;TEXT(Config!$C$21,"0.0%")&amp;IF(INDEX('Commission Data — Sales'!$AA$7:$AA$205,A9-7+1)&lt;&gt;""," | PM: "&amp;INDEX('Commission Data — Sales'!$AA$7:$AA$205,A9-7+1)&amp;" ("&amp;TEXT(Config!$C$22,"0.0%")&amp;")",""),IF(INDEX('Commission Data — Sales'!$O$7:$O$205,A9-7+1)=$D$2,IF(AND(INDEX('Commission Data — Sales'!$S$7:$S$205,A9-7+1)="",,INDEX('Commission Data — Sales'!$W$7:$W$205,A9-7+1)=""),"Sole PIC (100%)","Shared — your share: "&amp;TEXT(INDEX('Commission Data — Sales'!$P$7:$P$205,A9-7+1),"0%")),IF(INDEX('Commission Data — Sales'!$S$7:$S$205,A9-7+1)=$D$2,"Shared — your share: "&amp;TEXT(INDEX('Commission Data — Sales'!$T$7:$T$205,A9-7+1),"0%"),"Shared — your share: "&amp;TEXT(INDEX('Commission Data — Sales'!$X$7:$X$205,A9-7+1),"0%")))),""),IFERROR(IF(INDEX('Commission Data — Presales'!$N$7:$N$205,A9-7+1)=$D$2,IF(AND(INDEX('Commission Data — Presales'!$Q$7:$Q$205,A9-7+1)="",INDEX('Commission Data — Presales'!$T$7:$T$205,A9-7+1)=""),"Sole Presales (100%)","Shared — your share: "&amp;TEXT(INDEX('Commission Data — Presales'!$O$7:$O$205,A9-7+1),"0%")),IF(INDEX('Commission Data — Presales'!$Q$7:$Q$205,A9-7+1)=$D$2,"Shared — your share: "&amp;TEXT(INDEX('Commission Data — Presales'!$R$7:$R$205,A9-7+1),"0%"),"Shared — your share: "&amp;TEXT(INDEX('Commission Data — Presales'!$U$7:$U$205,A9-7+1),"0%"))),""))))),"")</f>
        <v/>
      </c>
      <c r="N9" t="str">
        <f>IFERROR(IF(INDEX(O4:O258,MATCH($D$2,O4:O258,0)+4)=$D$2,INDEX(P4:P258,MATCH($D$2,O4:O258,0)+4),""),"")</f>
        <v/>
      </c>
      <c r="O9" t="s">
        <v>168</v>
      </c>
      <c r="P9" t="s">
        <v>311</v>
      </c>
      <c r="Q9">
        <v>28</v>
      </c>
      <c r="R9" t="s">
        <v>153</v>
      </c>
    </row>
    <row r="10" spans="1:18" ht="18" customHeight="1" x14ac:dyDescent="0.45">
      <c r="A10" s="83" t="str">
        <f>IFERROR(IF(INDEX(O4:O258,MATCH($D$2,O4:O258,0)+5)=$D$2,INDEX(Q4:Q258,MATCH($D$2,O4:O258,0)+5),""),"")</f>
        <v/>
      </c>
      <c r="B10" s="199" t="str">
        <f>IF(A10&lt;&gt;"",IF(OR(N10="S",N10="M",N10="G",N10="D"),INDEX('Commission Data — Sales'!$C$7:$C$205,A10-7+1),INDEX('Commission Data — Presales'!$C$7:$C$205,A10-7+1)),"")</f>
        <v/>
      </c>
      <c r="C10" s="199" t="str">
        <f>IF(A10&lt;&gt;"",IF(OR(N10="S",N10="M",N10="G",N10="D"),INDEX('Commission Data — Sales'!$D$7:$D$205,A10-7+1),INDEX('Commission Data — Presales'!$D$7:$D$205,A10-7+1)),"")</f>
        <v/>
      </c>
      <c r="D10" s="199" t="str">
        <f>IF(A10&lt;&gt;"",IF(OR(N10="S",N10="M",N10="G",N10="D"),INDEX('Commission Data — Sales'!$E$7:$E$205,A10-7+1),INDEX('Commission Data — Presales'!$E$7:$E$205,A10-7+1)),"")</f>
        <v/>
      </c>
      <c r="E10" s="199" t="str">
        <f>IF(A10&lt;&gt;"",IF(OR(N10="S",N10="M",N10="G",N10="D"),INDEX('Commission Data — Sales'!$G$7:$G$205,A10-7+1),INDEX('Commission Data — Presales'!$G$7:$G$205,A10-7+1)),"")</f>
        <v/>
      </c>
      <c r="F10" s="200" t="str">
        <f>IF(A10&lt;&gt;"",IF(OR(N10="S",N10="M",N10="G",N10="D"),INDEX('Commission Data — Sales'!$H$7:$H$205,A10-7+1),INDEX('Commission Data — Presales'!$H$7:$H$205,A10-7+1)),"")</f>
        <v/>
      </c>
      <c r="G10" s="201" t="str">
        <f>IF(A10&lt;&gt;"",IF(OR(N10="S",N10="M",N10="G",N10="D"),INDEX('Commission Data — Sales'!$N$7:$N$205,A10-7+1),"Presales"),"")</f>
        <v/>
      </c>
      <c r="H10" s="202" t="str">
        <f>IF(A10&lt;&gt;"",IF(OR(N10="S",N10="M",N10="G",N10="D"),INDEX('Commission Data — Sales'!$L$7:$L$205,A10-7+1),INDEX('Commission Data — Presales'!$L$7:$L$205,A10-7+1)),"")</f>
        <v/>
      </c>
      <c r="I10" s="203">
        <f>IF(A10&lt;&gt;"",IF(OR(N10="S",N10="M",N10="G",N10="D"),INDEX('Commission Data — Sales'!$M$7:$M$205,A10-7+1),INDEX('Commission Data — Presales'!$M$7:$M$205,A10-7+1)),0)</f>
        <v>0</v>
      </c>
      <c r="J10" s="204" t="str">
        <f>IF(A10&lt;&gt;"",IF(N10="M",Config!$C$22,IF(N10="G",Config!$C$23,IF(N10="D",Config!$C$24,IF(N10="S",IFERROR(IF(INDEX('Commission Data — Sales'!$O$7:$O$205,A10-7+1)=$D$2,INDEX('Commission Data — Sales'!$Q$7:$Q$205,A10-7+1)*INDEX('Commission Data — Sales'!$P$7:$P$205,A10-7+1),IF(INDEX('Commission Data — Sales'!$S$7:$S$205,A10-7+1)=$D$2,INDEX('Commission Data — Sales'!$U$7:$U$205,A10-7+1)*INDEX('Commission Data — Sales'!$T$7:$T$205,A10-7+1),INDEX('Commission Data — Sales'!$Y$7:$Y$205,A10-7+1)*INDEX('Commission Data — Sales'!$X$7:$X$205,A10-7+1))),0),IFERROR(IF(INDEX('Commission Data — Presales'!$N$7:$N$205,A10-7+1)=$D$2,Config!$C$25*INDEX('Commission Data — Presales'!$O$7:$O$205,A10-7+1),IF(INDEX('Commission Data — Presales'!$Q$7:$Q$205,A10-7+1)=$D$2,Config!$C$25*INDEX('Commission Data — Presales'!$R$7:$R$205,A10-7+1),Config!$C$25*INDEX('Commission Data — Presales'!$U$7:$U$205,A10-7+1))),0))))),"")</f>
        <v/>
      </c>
      <c r="K10" s="205" t="str">
        <f>IF(A10&lt;&gt;"",IF(N10="M",IFERROR(INDEX('Commission Data — Sales'!$AB$7:$AB$205,A10-7+1),0),IF(N10="G",IFERROR(INDEX('Commission Data — Sales'!$AD$7:$AD$205,A10-7+1),0),IF(N10="D",IFERROR(INDEX('Commission Data — Sales'!$AF$7:$AF$205,A10-7+1),0),IF(N10="S",IFERROR(IF(INDEX('Commission Data — Sales'!$O$7:$O$205,A10-7+1)=$D$2,INDEX('Commission Data — Sales'!$R$7:$R$205,A10-7+1),0)+IF(INDEX('Commission Data — Sales'!$S$7:$S$205,A10-7+1)=$D$2,INDEX('Commission Data — Sales'!$V$7:$V$205,A10-7+1),0)+IF(INDEX('Commission Data — Sales'!$W$7:$W$205,A10-7+1)=$D$2,INDEX('Commission Data — Sales'!$Z$7:$Z$205,A10-7+1),0),0),IFERROR(IF(INDEX('Commission Data — Presales'!$N$7:$N$205,A10-7+1)=$D$2,INDEX('Commission Data — Presales'!$P$7:$P$205,A10-7+1),0)+IF(INDEX('Commission Data — Presales'!$Q$7:$Q$205,A10-7+1)=$D$2,INDEX('Commission Data — Presales'!$S$7:$S$205,A10-7+1),0)+IF(INDEX('Commission Data — Presales'!$T$7:$T$205,A10-7+1)=$D$2,INDEX('Commission Data — Presales'!$V$7:$V$205,A10-7+1),0),0))))),"")</f>
        <v/>
      </c>
      <c r="L10" s="163" t="str">
        <f>IF(A10&lt;&gt;"",IF(N10="M",IFERROR(INDEX('Commission Data — Sales'!$AB$7:$AB$205,A10-7+1),0),IF(N10="G",IFERROR(INDEX('Commission Data — Sales'!$AD$7:$AD$205,A10-7+1),0),IF(N10="D",IFERROR(INDEX('Commission Data — Sales'!$AF$7:$AF$205,A10-7+1),0),IF(N10="S",IFERROR(IF(INDEX('Commission Data — Sales'!$O$7:$O$205,A10-7+1)=$D$2,INDEX('Commission Data — Sales'!$AQ$7:$AQ$205,A10-7+1),0)+IF(INDEX('Commission Data — Sales'!$S$7:$S$205,A10-7+1)=$D$2,INDEX('Commission Data — Sales'!$AR$7:$AR$205,A10-7+1),0)+IF(INDEX('Commission Data — Sales'!$W$7:$W$205,A10-7+1)=$D$2,INDEX('Commission Data — Sales'!$AS$7:$AS$205,A10-7+1),0),0),IFERROR(IF(INDEX('Commission Data — Presales'!$N$7:$N$205,A10-7+1)=$D$2,INDEX('Commission Data — Presales'!$P$7:$P$205,A10-7+1),0)+IF(INDEX('Commission Data — Presales'!$Q$7:$Q$205,A10-7+1)=$D$2,INDEX('Commission Data — Presales'!$S$7:$S$205,A10-7+1),0)+IF(INDEX('Commission Data — Presales'!$T$7:$T$205,A10-7+1)=$D$2,INDEX('Commission Data — Presales'!$V$7:$V$205,A10-7+1),0),0))))),"")</f>
        <v/>
      </c>
      <c r="M10" s="206" t="str">
        <f>IF(A10&lt;&gt;"",IF(N10="M","PM — Umbrella Contract | rate: "&amp;TEXT(Config!$C$22,"0.0%"),IF(N10="G","Manager commission (0.7%)",IF(N10="D","Director commission (0.3%)",IF(N10="S",IFERROR(IF(INDEX('Commission Data — Sales'!$N$7:$N$205,A10-7+1)="Umbrella Contract","Umbrella Contract — your rate: "&amp;TEXT(Config!$C$21,"0.0%")&amp;IF(INDEX('Commission Data — Sales'!$AA$7:$AA$205,A10-7+1)&lt;&gt;""," | PM: "&amp;INDEX('Commission Data — Sales'!$AA$7:$AA$205,A10-7+1)&amp;" ("&amp;TEXT(Config!$C$22,"0.0%")&amp;")",""),IF(INDEX('Commission Data — Sales'!$O$7:$O$205,A10-7+1)=$D$2,IF(AND(INDEX('Commission Data — Sales'!$S$7:$S$205,A10-7+1)="",,INDEX('Commission Data — Sales'!$W$7:$W$205,A10-7+1)=""),"Sole PIC (100%)","Shared — your share: "&amp;TEXT(INDEX('Commission Data — Sales'!$P$7:$P$205,A10-7+1),"0%")),IF(INDEX('Commission Data — Sales'!$S$7:$S$205,A10-7+1)=$D$2,"Shared — your share: "&amp;TEXT(INDEX('Commission Data — Sales'!$T$7:$T$205,A10-7+1),"0%"),"Shared — your share: "&amp;TEXT(INDEX('Commission Data — Sales'!$X$7:$X$205,A10-7+1),"0%")))),""),IFERROR(IF(INDEX('Commission Data — Presales'!$N$7:$N$205,A10-7+1)=$D$2,IF(AND(INDEX('Commission Data — Presales'!$Q$7:$Q$205,A10-7+1)="",INDEX('Commission Data — Presales'!$T$7:$T$205,A10-7+1)=""),"Sole Presales (100%)","Shared — your share: "&amp;TEXT(INDEX('Commission Data — Presales'!$O$7:$O$205,A10-7+1),"0%")),IF(INDEX('Commission Data — Presales'!$Q$7:$Q$205,A10-7+1)=$D$2,"Shared — your share: "&amp;TEXT(INDEX('Commission Data — Presales'!$R$7:$R$205,A10-7+1),"0%"),"Shared — your share: "&amp;TEXT(INDEX('Commission Data — Presales'!$U$7:$U$205,A10-7+1),"0%"))),""))))),"")</f>
        <v/>
      </c>
      <c r="N10" t="str">
        <f>IFERROR(IF(INDEX(O4:O258,MATCH($D$2,O4:O258,0)+5)=$D$2,INDEX(P4:P258,MATCH($D$2,O4:O258,0)+5),""),"")</f>
        <v/>
      </c>
      <c r="O10" t="s">
        <v>168</v>
      </c>
      <c r="P10" t="s">
        <v>311</v>
      </c>
      <c r="Q10">
        <v>29</v>
      </c>
      <c r="R10" t="s">
        <v>152</v>
      </c>
    </row>
    <row r="11" spans="1:18" ht="18" customHeight="1" x14ac:dyDescent="0.45">
      <c r="A11" s="83" t="str">
        <f>IFERROR(IF(INDEX(O4:O258,MATCH($D$2,O4:O258,0)+6)=$D$2,INDEX(Q4:Q258,MATCH($D$2,O4:O258,0)+6),""),"")</f>
        <v/>
      </c>
      <c r="B11" s="191" t="str">
        <f>IF(A11&lt;&gt;"",IF(OR(N11="S",N11="M",N11="G",N11="D"),INDEX('Commission Data — Sales'!$C$7:$C$205,A11-7+1),INDEX('Commission Data — Presales'!$C$7:$C$205,A11-7+1)),"")</f>
        <v/>
      </c>
      <c r="C11" s="191" t="str">
        <f>IF(A11&lt;&gt;"",IF(OR(N11="S",N11="M",N11="G",N11="D"),INDEX('Commission Data — Sales'!$D$7:$D$205,A11-7+1),INDEX('Commission Data — Presales'!$D$7:$D$205,A11-7+1)),"")</f>
        <v/>
      </c>
      <c r="D11" s="191" t="str">
        <f>IF(A11&lt;&gt;"",IF(OR(N11="S",N11="M",N11="G",N11="D"),INDEX('Commission Data — Sales'!$E$7:$E$205,A11-7+1),INDEX('Commission Data — Presales'!$E$7:$E$205,A11-7+1)),"")</f>
        <v/>
      </c>
      <c r="E11" s="191" t="str">
        <f>IF(A11&lt;&gt;"",IF(OR(N11="S",N11="M",N11="G",N11="D"),INDEX('Commission Data — Sales'!$G$7:$G$205,A11-7+1),INDEX('Commission Data — Presales'!$G$7:$G$205,A11-7+1)),"")</f>
        <v/>
      </c>
      <c r="F11" s="192" t="str">
        <f>IF(A11&lt;&gt;"",IF(OR(N11="S",N11="M",N11="G",N11="D"),INDEX('Commission Data — Sales'!$H$7:$H$205,A11-7+1),INDEX('Commission Data — Presales'!$H$7:$H$205,A11-7+1)),"")</f>
        <v/>
      </c>
      <c r="G11" s="193" t="str">
        <f>IF(A11&lt;&gt;"",IF(OR(N11="S",N11="M",N11="G",N11="D"),INDEX('Commission Data — Sales'!$N$7:$N$205,A11-7+1),"Presales"),"")</f>
        <v/>
      </c>
      <c r="H11" s="194" t="str">
        <f>IF(A11&lt;&gt;"",IF(OR(N11="S",N11="M",N11="G",N11="D"),INDEX('Commission Data — Sales'!$L$7:$L$205,A11-7+1),INDEX('Commission Data — Presales'!$L$7:$L$205,A11-7+1)),"")</f>
        <v/>
      </c>
      <c r="I11" s="195">
        <f>IF(A11&lt;&gt;"",IF(OR(N11="S",N11="M",N11="G",N11="D"),INDEX('Commission Data — Sales'!$M$7:$M$205,A11-7+1),INDEX('Commission Data — Presales'!$M$7:$M$205,A11-7+1)),0)</f>
        <v>0</v>
      </c>
      <c r="J11" s="196" t="str">
        <f>IF(A11&lt;&gt;"",IF(N11="M",Config!$C$22,IF(N11="G",Config!$C$23,IF(N11="D",Config!$C$24,IF(N11="S",IFERROR(IF(INDEX('Commission Data — Sales'!$O$7:$O$205,A11-7+1)=$D$2,INDEX('Commission Data — Sales'!$Q$7:$Q$205,A11-7+1)*INDEX('Commission Data — Sales'!$P$7:$P$205,A11-7+1),IF(INDEX('Commission Data — Sales'!$S$7:$S$205,A11-7+1)=$D$2,INDEX('Commission Data — Sales'!$U$7:$U$205,A11-7+1)*INDEX('Commission Data — Sales'!$T$7:$T$205,A11-7+1),INDEX('Commission Data — Sales'!$Y$7:$Y$205,A11-7+1)*INDEX('Commission Data — Sales'!$X$7:$X$205,A11-7+1))),0),IFERROR(IF(INDEX('Commission Data — Presales'!$N$7:$N$205,A11-7+1)=$D$2,Config!$C$25*INDEX('Commission Data — Presales'!$O$7:$O$205,A11-7+1),IF(INDEX('Commission Data — Presales'!$Q$7:$Q$205,A11-7+1)=$D$2,Config!$C$25*INDEX('Commission Data — Presales'!$R$7:$R$205,A11-7+1),Config!$C$25*INDEX('Commission Data — Presales'!$U$7:$U$205,A11-7+1))),0))))),"")</f>
        <v/>
      </c>
      <c r="K11" s="197" t="str">
        <f>IF(A11&lt;&gt;"",IF(N11="M",IFERROR(INDEX('Commission Data — Sales'!$AB$7:$AB$205,A11-7+1),0),IF(N11="G",IFERROR(INDEX('Commission Data — Sales'!$AD$7:$AD$205,A11-7+1),0),IF(N11="D",IFERROR(INDEX('Commission Data — Sales'!$AF$7:$AF$205,A11-7+1),0),IF(N11="S",IFERROR(IF(INDEX('Commission Data — Sales'!$O$7:$O$205,A11-7+1)=$D$2,INDEX('Commission Data — Sales'!$R$7:$R$205,A11-7+1),0)+IF(INDEX('Commission Data — Sales'!$S$7:$S$205,A11-7+1)=$D$2,INDEX('Commission Data — Sales'!$V$7:$V$205,A11-7+1),0)+IF(INDEX('Commission Data — Sales'!$W$7:$W$205,A11-7+1)=$D$2,INDEX('Commission Data — Sales'!$Z$7:$Z$205,A11-7+1),0),0),IFERROR(IF(INDEX('Commission Data — Presales'!$N$7:$N$205,A11-7+1)=$D$2,INDEX('Commission Data — Presales'!$P$7:$P$205,A11-7+1),0)+IF(INDEX('Commission Data — Presales'!$Q$7:$Q$205,A11-7+1)=$D$2,INDEX('Commission Data — Presales'!$S$7:$S$205,A11-7+1),0)+IF(INDEX('Commission Data — Presales'!$T$7:$T$205,A11-7+1)=$D$2,INDEX('Commission Data — Presales'!$V$7:$V$205,A11-7+1),0),0))))),"")</f>
        <v/>
      </c>
      <c r="L11" s="155" t="str">
        <f>IF(A11&lt;&gt;"",IF(N11="M",IFERROR(INDEX('Commission Data — Sales'!$AB$7:$AB$205,A11-7+1),0),IF(N11="G",IFERROR(INDEX('Commission Data — Sales'!$AD$7:$AD$205,A11-7+1),0),IF(N11="D",IFERROR(INDEX('Commission Data — Sales'!$AF$7:$AF$205,A11-7+1),0),IF(N11="S",IFERROR(IF(INDEX('Commission Data — Sales'!$O$7:$O$205,A11-7+1)=$D$2,INDEX('Commission Data — Sales'!$AQ$7:$AQ$205,A11-7+1),0)+IF(INDEX('Commission Data — Sales'!$S$7:$S$205,A11-7+1)=$D$2,INDEX('Commission Data — Sales'!$AR$7:$AR$205,A11-7+1),0)+IF(INDEX('Commission Data — Sales'!$W$7:$W$205,A11-7+1)=$D$2,INDEX('Commission Data — Sales'!$AS$7:$AS$205,A11-7+1),0),0),IFERROR(IF(INDEX('Commission Data — Presales'!$N$7:$N$205,A11-7+1)=$D$2,INDEX('Commission Data — Presales'!$P$7:$P$205,A11-7+1),0)+IF(INDEX('Commission Data — Presales'!$Q$7:$Q$205,A11-7+1)=$D$2,INDEX('Commission Data — Presales'!$S$7:$S$205,A11-7+1),0)+IF(INDEX('Commission Data — Presales'!$T$7:$T$205,A11-7+1)=$D$2,INDEX('Commission Data — Presales'!$V$7:$V$205,A11-7+1),0),0))))),"")</f>
        <v/>
      </c>
      <c r="M11" s="198" t="str">
        <f>IF(A11&lt;&gt;"",IF(N11="M","PM — Umbrella Contract | rate: "&amp;TEXT(Config!$C$22,"0.0%"),IF(N11="G","Manager commission (0.7%)",IF(N11="D","Director commission (0.3%)",IF(N11="S",IFERROR(IF(INDEX('Commission Data — Sales'!$N$7:$N$205,A11-7+1)="Umbrella Contract","Umbrella Contract — your rate: "&amp;TEXT(Config!$C$21,"0.0%")&amp;IF(INDEX('Commission Data — Sales'!$AA$7:$AA$205,A11-7+1)&lt;&gt;""," | PM: "&amp;INDEX('Commission Data — Sales'!$AA$7:$AA$205,A11-7+1)&amp;" ("&amp;TEXT(Config!$C$22,"0.0%")&amp;")",""),IF(INDEX('Commission Data — Sales'!$O$7:$O$205,A11-7+1)=$D$2,IF(AND(INDEX('Commission Data — Sales'!$S$7:$S$205,A11-7+1)="",,INDEX('Commission Data — Sales'!$W$7:$W$205,A11-7+1)=""),"Sole PIC (100%)","Shared — your share: "&amp;TEXT(INDEX('Commission Data — Sales'!$P$7:$P$205,A11-7+1),"0%")),IF(INDEX('Commission Data — Sales'!$S$7:$S$205,A11-7+1)=$D$2,"Shared — your share: "&amp;TEXT(INDEX('Commission Data — Sales'!$T$7:$T$205,A11-7+1),"0%"),"Shared — your share: "&amp;TEXT(INDEX('Commission Data — Sales'!$X$7:$X$205,A11-7+1),"0%")))),""),IFERROR(IF(INDEX('Commission Data — Presales'!$N$7:$N$205,A11-7+1)=$D$2,IF(AND(INDEX('Commission Data — Presales'!$Q$7:$Q$205,A11-7+1)="",INDEX('Commission Data — Presales'!$T$7:$T$205,A11-7+1)=""),"Sole Presales (100%)","Shared — your share: "&amp;TEXT(INDEX('Commission Data — Presales'!$O$7:$O$205,A11-7+1),"0%")),IF(INDEX('Commission Data — Presales'!$Q$7:$Q$205,A11-7+1)=$D$2,"Shared — your share: "&amp;TEXT(INDEX('Commission Data — Presales'!$R$7:$R$205,A11-7+1),"0%"),"Shared — your share: "&amp;TEXT(INDEX('Commission Data — Presales'!$U$7:$U$205,A11-7+1),"0%"))),""))))),"")</f>
        <v/>
      </c>
      <c r="N11" t="str">
        <f>IFERROR(IF(INDEX(O4:O258,MATCH($D$2,O4:O258,0)+6)=$D$2,INDEX(P4:P258,MATCH($D$2,O4:O258,0)+6),""),"")</f>
        <v/>
      </c>
      <c r="O11" t="s">
        <v>168</v>
      </c>
      <c r="P11" t="s">
        <v>311</v>
      </c>
      <c r="Q11">
        <v>30</v>
      </c>
      <c r="R11" t="s">
        <v>157</v>
      </c>
    </row>
    <row r="12" spans="1:18" ht="18" customHeight="1" x14ac:dyDescent="0.45">
      <c r="A12" s="83" t="str">
        <f>IFERROR(IF(INDEX(O4:O258,MATCH($D$2,O4:O258,0)+7)=$D$2,INDEX(Q4:Q258,MATCH($D$2,O4:O258,0)+7),""),"")</f>
        <v/>
      </c>
      <c r="B12" s="199" t="str">
        <f>IF(A12&lt;&gt;"",IF(OR(N12="S",N12="M",N12="G",N12="D"),INDEX('Commission Data — Sales'!$C$7:$C$205,A12-7+1),INDEX('Commission Data — Presales'!$C$7:$C$205,A12-7+1)),"")</f>
        <v/>
      </c>
      <c r="C12" s="199" t="str">
        <f>IF(A12&lt;&gt;"",IF(OR(N12="S",N12="M",N12="G",N12="D"),INDEX('Commission Data — Sales'!$D$7:$D$205,A12-7+1),INDEX('Commission Data — Presales'!$D$7:$D$205,A12-7+1)),"")</f>
        <v/>
      </c>
      <c r="D12" s="199" t="str">
        <f>IF(A12&lt;&gt;"",IF(OR(N12="S",N12="M",N12="G",N12="D"),INDEX('Commission Data — Sales'!$E$7:$E$205,A12-7+1),INDEX('Commission Data — Presales'!$E$7:$E$205,A12-7+1)),"")</f>
        <v/>
      </c>
      <c r="E12" s="199" t="str">
        <f>IF(A12&lt;&gt;"",IF(OR(N12="S",N12="M",N12="G",N12="D"),INDEX('Commission Data — Sales'!$G$7:$G$205,A12-7+1),INDEX('Commission Data — Presales'!$G$7:$G$205,A12-7+1)),"")</f>
        <v/>
      </c>
      <c r="F12" s="200" t="str">
        <f>IF(A12&lt;&gt;"",IF(OR(N12="S",N12="M",N12="G",N12="D"),INDEX('Commission Data — Sales'!$H$7:$H$205,A12-7+1),INDEX('Commission Data — Presales'!$H$7:$H$205,A12-7+1)),"")</f>
        <v/>
      </c>
      <c r="G12" s="201" t="str">
        <f>IF(A12&lt;&gt;"",IF(OR(N12="S",N12="M",N12="G",N12="D"),INDEX('Commission Data — Sales'!$N$7:$N$205,A12-7+1),"Presales"),"")</f>
        <v/>
      </c>
      <c r="H12" s="202" t="str">
        <f>IF(A12&lt;&gt;"",IF(OR(N12="S",N12="M",N12="G",N12="D"),INDEX('Commission Data — Sales'!$L$7:$L$205,A12-7+1),INDEX('Commission Data — Presales'!$L$7:$L$205,A12-7+1)),"")</f>
        <v/>
      </c>
      <c r="I12" s="203">
        <f>IF(A12&lt;&gt;"",IF(OR(N12="S",N12="M",N12="G",N12="D"),INDEX('Commission Data — Sales'!$M$7:$M$205,A12-7+1),INDEX('Commission Data — Presales'!$M$7:$M$205,A12-7+1)),0)</f>
        <v>0</v>
      </c>
      <c r="J12" s="204" t="str">
        <f>IF(A12&lt;&gt;"",IF(N12="M",Config!$C$22,IF(N12="G",Config!$C$23,IF(N12="D",Config!$C$24,IF(N12="S",IFERROR(IF(INDEX('Commission Data — Sales'!$O$7:$O$205,A12-7+1)=$D$2,INDEX('Commission Data — Sales'!$Q$7:$Q$205,A12-7+1)*INDEX('Commission Data — Sales'!$P$7:$P$205,A12-7+1),IF(INDEX('Commission Data — Sales'!$S$7:$S$205,A12-7+1)=$D$2,INDEX('Commission Data — Sales'!$U$7:$U$205,A12-7+1)*INDEX('Commission Data — Sales'!$T$7:$T$205,A12-7+1),INDEX('Commission Data — Sales'!$Y$7:$Y$205,A12-7+1)*INDEX('Commission Data — Sales'!$X$7:$X$205,A12-7+1))),0),IFERROR(IF(INDEX('Commission Data — Presales'!$N$7:$N$205,A12-7+1)=$D$2,Config!$C$25*INDEX('Commission Data — Presales'!$O$7:$O$205,A12-7+1),IF(INDEX('Commission Data — Presales'!$Q$7:$Q$205,A12-7+1)=$D$2,Config!$C$25*INDEX('Commission Data — Presales'!$R$7:$R$205,A12-7+1),Config!$C$25*INDEX('Commission Data — Presales'!$U$7:$U$205,A12-7+1))),0))))),"")</f>
        <v/>
      </c>
      <c r="K12" s="205" t="str">
        <f>IF(A12&lt;&gt;"",IF(N12="M",IFERROR(INDEX('Commission Data — Sales'!$AB$7:$AB$205,A12-7+1),0),IF(N12="G",IFERROR(INDEX('Commission Data — Sales'!$AD$7:$AD$205,A12-7+1),0),IF(N12="D",IFERROR(INDEX('Commission Data — Sales'!$AF$7:$AF$205,A12-7+1),0),IF(N12="S",IFERROR(IF(INDEX('Commission Data — Sales'!$O$7:$O$205,A12-7+1)=$D$2,INDEX('Commission Data — Sales'!$R$7:$R$205,A12-7+1),0)+IF(INDEX('Commission Data — Sales'!$S$7:$S$205,A12-7+1)=$D$2,INDEX('Commission Data — Sales'!$V$7:$V$205,A12-7+1),0)+IF(INDEX('Commission Data — Sales'!$W$7:$W$205,A12-7+1)=$D$2,INDEX('Commission Data — Sales'!$Z$7:$Z$205,A12-7+1),0),0),IFERROR(IF(INDEX('Commission Data — Presales'!$N$7:$N$205,A12-7+1)=$D$2,INDEX('Commission Data — Presales'!$P$7:$P$205,A12-7+1),0)+IF(INDEX('Commission Data — Presales'!$Q$7:$Q$205,A12-7+1)=$D$2,INDEX('Commission Data — Presales'!$S$7:$S$205,A12-7+1),0)+IF(INDEX('Commission Data — Presales'!$T$7:$T$205,A12-7+1)=$D$2,INDEX('Commission Data — Presales'!$V$7:$V$205,A12-7+1),0),0))))),"")</f>
        <v/>
      </c>
      <c r="L12" s="163" t="str">
        <f>IF(A12&lt;&gt;"",IF(N12="M",IFERROR(INDEX('Commission Data — Sales'!$AB$7:$AB$205,A12-7+1),0),IF(N12="G",IFERROR(INDEX('Commission Data — Sales'!$AD$7:$AD$205,A12-7+1),0),IF(N12="D",IFERROR(INDEX('Commission Data — Sales'!$AF$7:$AF$205,A12-7+1),0),IF(N12="S",IFERROR(IF(INDEX('Commission Data — Sales'!$O$7:$O$205,A12-7+1)=$D$2,INDEX('Commission Data — Sales'!$AQ$7:$AQ$205,A12-7+1),0)+IF(INDEX('Commission Data — Sales'!$S$7:$S$205,A12-7+1)=$D$2,INDEX('Commission Data — Sales'!$AR$7:$AR$205,A12-7+1),0)+IF(INDEX('Commission Data — Sales'!$W$7:$W$205,A12-7+1)=$D$2,INDEX('Commission Data — Sales'!$AS$7:$AS$205,A12-7+1),0),0),IFERROR(IF(INDEX('Commission Data — Presales'!$N$7:$N$205,A12-7+1)=$D$2,INDEX('Commission Data — Presales'!$P$7:$P$205,A12-7+1),0)+IF(INDEX('Commission Data — Presales'!$Q$7:$Q$205,A12-7+1)=$D$2,INDEX('Commission Data — Presales'!$S$7:$S$205,A12-7+1),0)+IF(INDEX('Commission Data — Presales'!$T$7:$T$205,A12-7+1)=$D$2,INDEX('Commission Data — Presales'!$V$7:$V$205,A12-7+1),0),0))))),"")</f>
        <v/>
      </c>
      <c r="M12" s="206" t="str">
        <f>IF(A12&lt;&gt;"",IF(N12="M","PM — Umbrella Contract | rate: "&amp;TEXT(Config!$C$22,"0.0%"),IF(N12="G","Manager commission (0.7%)",IF(N12="D","Director commission (0.3%)",IF(N12="S",IFERROR(IF(INDEX('Commission Data — Sales'!$N$7:$N$205,A12-7+1)="Umbrella Contract","Umbrella Contract — your rate: "&amp;TEXT(Config!$C$21,"0.0%")&amp;IF(INDEX('Commission Data — Sales'!$AA$7:$AA$205,A12-7+1)&lt;&gt;""," | PM: "&amp;INDEX('Commission Data — Sales'!$AA$7:$AA$205,A12-7+1)&amp;" ("&amp;TEXT(Config!$C$22,"0.0%")&amp;")",""),IF(INDEX('Commission Data — Sales'!$O$7:$O$205,A12-7+1)=$D$2,IF(AND(INDEX('Commission Data — Sales'!$S$7:$S$205,A12-7+1)="",,INDEX('Commission Data — Sales'!$W$7:$W$205,A12-7+1)=""),"Sole PIC (100%)","Shared — your share: "&amp;TEXT(INDEX('Commission Data — Sales'!$P$7:$P$205,A12-7+1),"0%")),IF(INDEX('Commission Data — Sales'!$S$7:$S$205,A12-7+1)=$D$2,"Shared — your share: "&amp;TEXT(INDEX('Commission Data — Sales'!$T$7:$T$205,A12-7+1),"0%"),"Shared — your share: "&amp;TEXT(INDEX('Commission Data — Sales'!$X$7:$X$205,A12-7+1),"0%")))),""),IFERROR(IF(INDEX('Commission Data — Presales'!$N$7:$N$205,A12-7+1)=$D$2,IF(AND(INDEX('Commission Data — Presales'!$Q$7:$Q$205,A12-7+1)="",INDEX('Commission Data — Presales'!$T$7:$T$205,A12-7+1)=""),"Sole Presales (100%)","Shared — your share: "&amp;TEXT(INDEX('Commission Data — Presales'!$O$7:$O$205,A12-7+1),"0%")),IF(INDEX('Commission Data — Presales'!$Q$7:$Q$205,A12-7+1)=$D$2,"Shared — your share: "&amp;TEXT(INDEX('Commission Data — Presales'!$R$7:$R$205,A12-7+1),"0%"),"Shared — your share: "&amp;TEXT(INDEX('Commission Data — Presales'!$U$7:$U$205,A12-7+1),"0%"))),""))))),"")</f>
        <v/>
      </c>
      <c r="N12" t="str">
        <f>IFERROR(IF(INDEX(O4:O258,MATCH($D$2,O4:O258,0)+7)=$D$2,INDEX(P4:P258,MATCH($D$2,O4:O258,0)+7),""),"")</f>
        <v/>
      </c>
      <c r="O12" t="s">
        <v>168</v>
      </c>
      <c r="P12" t="s">
        <v>311</v>
      </c>
      <c r="Q12">
        <v>31</v>
      </c>
      <c r="R12" t="s">
        <v>142</v>
      </c>
    </row>
    <row r="13" spans="1:18" ht="18" customHeight="1" x14ac:dyDescent="0.45">
      <c r="A13" s="83" t="str">
        <f>IFERROR(IF(INDEX(O4:O258,MATCH($D$2,O4:O258,0)+8)=$D$2,INDEX(Q4:Q258,MATCH($D$2,O4:O258,0)+8),""),"")</f>
        <v/>
      </c>
      <c r="B13" s="191" t="str">
        <f>IF(A13&lt;&gt;"",IF(OR(N13="S",N13="M",N13="G",N13="D"),INDEX('Commission Data — Sales'!$C$7:$C$205,A13-7+1),INDEX('Commission Data — Presales'!$C$7:$C$205,A13-7+1)),"")</f>
        <v/>
      </c>
      <c r="C13" s="191" t="str">
        <f>IF(A13&lt;&gt;"",IF(OR(N13="S",N13="M",N13="G",N13="D"),INDEX('Commission Data — Sales'!$D$7:$D$205,A13-7+1),INDEX('Commission Data — Presales'!$D$7:$D$205,A13-7+1)),"")</f>
        <v/>
      </c>
      <c r="D13" s="191" t="str">
        <f>IF(A13&lt;&gt;"",IF(OR(N13="S",N13="M",N13="G",N13="D"),INDEX('Commission Data — Sales'!$E$7:$E$205,A13-7+1),INDEX('Commission Data — Presales'!$E$7:$E$205,A13-7+1)),"")</f>
        <v/>
      </c>
      <c r="E13" s="191" t="str">
        <f>IF(A13&lt;&gt;"",IF(OR(N13="S",N13="M",N13="G",N13="D"),INDEX('Commission Data — Sales'!$G$7:$G$205,A13-7+1),INDEX('Commission Data — Presales'!$G$7:$G$205,A13-7+1)),"")</f>
        <v/>
      </c>
      <c r="F13" s="192" t="str">
        <f>IF(A13&lt;&gt;"",IF(OR(N13="S",N13="M",N13="G",N13="D"),INDEX('Commission Data — Sales'!$H$7:$H$205,A13-7+1),INDEX('Commission Data — Presales'!$H$7:$H$205,A13-7+1)),"")</f>
        <v/>
      </c>
      <c r="G13" s="193" t="str">
        <f>IF(A13&lt;&gt;"",IF(OR(N13="S",N13="M",N13="G",N13="D"),INDEX('Commission Data — Sales'!$N$7:$N$205,A13-7+1),"Presales"),"")</f>
        <v/>
      </c>
      <c r="H13" s="194" t="str">
        <f>IF(A13&lt;&gt;"",IF(OR(N13="S",N13="M",N13="G",N13="D"),INDEX('Commission Data — Sales'!$L$7:$L$205,A13-7+1),INDEX('Commission Data — Presales'!$L$7:$L$205,A13-7+1)),"")</f>
        <v/>
      </c>
      <c r="I13" s="195">
        <f>IF(A13&lt;&gt;"",IF(OR(N13="S",N13="M",N13="G",N13="D"),INDEX('Commission Data — Sales'!$M$7:$M$205,A13-7+1),INDEX('Commission Data — Presales'!$M$7:$M$205,A13-7+1)),0)</f>
        <v>0</v>
      </c>
      <c r="J13" s="196" t="str">
        <f>IF(A13&lt;&gt;"",IF(N13="M",Config!$C$22,IF(N13="G",Config!$C$23,IF(N13="D",Config!$C$24,IF(N13="S",IFERROR(IF(INDEX('Commission Data — Sales'!$O$7:$O$205,A13-7+1)=$D$2,INDEX('Commission Data — Sales'!$Q$7:$Q$205,A13-7+1)*INDEX('Commission Data — Sales'!$P$7:$P$205,A13-7+1),IF(INDEX('Commission Data — Sales'!$S$7:$S$205,A13-7+1)=$D$2,INDEX('Commission Data — Sales'!$U$7:$U$205,A13-7+1)*INDEX('Commission Data — Sales'!$T$7:$T$205,A13-7+1),INDEX('Commission Data — Sales'!$Y$7:$Y$205,A13-7+1)*INDEX('Commission Data — Sales'!$X$7:$X$205,A13-7+1))),0),IFERROR(IF(INDEX('Commission Data — Presales'!$N$7:$N$205,A13-7+1)=$D$2,Config!$C$25*INDEX('Commission Data — Presales'!$O$7:$O$205,A13-7+1),IF(INDEX('Commission Data — Presales'!$Q$7:$Q$205,A13-7+1)=$D$2,Config!$C$25*INDEX('Commission Data — Presales'!$R$7:$R$205,A13-7+1),Config!$C$25*INDEX('Commission Data — Presales'!$U$7:$U$205,A13-7+1))),0))))),"")</f>
        <v/>
      </c>
      <c r="K13" s="197" t="str">
        <f>IF(A13&lt;&gt;"",IF(N13="M",IFERROR(INDEX('Commission Data — Sales'!$AB$7:$AB$205,A13-7+1),0),IF(N13="G",IFERROR(INDEX('Commission Data — Sales'!$AD$7:$AD$205,A13-7+1),0),IF(N13="D",IFERROR(INDEX('Commission Data — Sales'!$AF$7:$AF$205,A13-7+1),0),IF(N13="S",IFERROR(IF(INDEX('Commission Data — Sales'!$O$7:$O$205,A13-7+1)=$D$2,INDEX('Commission Data — Sales'!$R$7:$R$205,A13-7+1),0)+IF(INDEX('Commission Data — Sales'!$S$7:$S$205,A13-7+1)=$D$2,INDEX('Commission Data — Sales'!$V$7:$V$205,A13-7+1),0)+IF(INDEX('Commission Data — Sales'!$W$7:$W$205,A13-7+1)=$D$2,INDEX('Commission Data — Sales'!$Z$7:$Z$205,A13-7+1),0),0),IFERROR(IF(INDEX('Commission Data — Presales'!$N$7:$N$205,A13-7+1)=$D$2,INDEX('Commission Data — Presales'!$P$7:$P$205,A13-7+1),0)+IF(INDEX('Commission Data — Presales'!$Q$7:$Q$205,A13-7+1)=$D$2,INDEX('Commission Data — Presales'!$S$7:$S$205,A13-7+1),0)+IF(INDEX('Commission Data — Presales'!$T$7:$T$205,A13-7+1)=$D$2,INDEX('Commission Data — Presales'!$V$7:$V$205,A13-7+1),0),0))))),"")</f>
        <v/>
      </c>
      <c r="L13" s="155" t="str">
        <f>IF(A13&lt;&gt;"",IF(N13="M",IFERROR(INDEX('Commission Data — Sales'!$AB$7:$AB$205,A13-7+1),0),IF(N13="G",IFERROR(INDEX('Commission Data — Sales'!$AD$7:$AD$205,A13-7+1),0),IF(N13="D",IFERROR(INDEX('Commission Data — Sales'!$AF$7:$AF$205,A13-7+1),0),IF(N13="S",IFERROR(IF(INDEX('Commission Data — Sales'!$O$7:$O$205,A13-7+1)=$D$2,INDEX('Commission Data — Sales'!$AQ$7:$AQ$205,A13-7+1),0)+IF(INDEX('Commission Data — Sales'!$S$7:$S$205,A13-7+1)=$D$2,INDEX('Commission Data — Sales'!$AR$7:$AR$205,A13-7+1),0)+IF(INDEX('Commission Data — Sales'!$W$7:$W$205,A13-7+1)=$D$2,INDEX('Commission Data — Sales'!$AS$7:$AS$205,A13-7+1),0),0),IFERROR(IF(INDEX('Commission Data — Presales'!$N$7:$N$205,A13-7+1)=$D$2,INDEX('Commission Data — Presales'!$P$7:$P$205,A13-7+1),0)+IF(INDEX('Commission Data — Presales'!$Q$7:$Q$205,A13-7+1)=$D$2,INDEX('Commission Data — Presales'!$S$7:$S$205,A13-7+1),0)+IF(INDEX('Commission Data — Presales'!$T$7:$T$205,A13-7+1)=$D$2,INDEX('Commission Data — Presales'!$V$7:$V$205,A13-7+1),0),0))))),"")</f>
        <v/>
      </c>
      <c r="M13" s="198" t="str">
        <f>IF(A13&lt;&gt;"",IF(N13="M","PM — Umbrella Contract | rate: "&amp;TEXT(Config!$C$22,"0.0%"),IF(N13="G","Manager commission (0.7%)",IF(N13="D","Director commission (0.3%)",IF(N13="S",IFERROR(IF(INDEX('Commission Data — Sales'!$N$7:$N$205,A13-7+1)="Umbrella Contract","Umbrella Contract — your rate: "&amp;TEXT(Config!$C$21,"0.0%")&amp;IF(INDEX('Commission Data — Sales'!$AA$7:$AA$205,A13-7+1)&lt;&gt;""," | PM: "&amp;INDEX('Commission Data — Sales'!$AA$7:$AA$205,A13-7+1)&amp;" ("&amp;TEXT(Config!$C$22,"0.0%")&amp;")",""),IF(INDEX('Commission Data — Sales'!$O$7:$O$205,A13-7+1)=$D$2,IF(AND(INDEX('Commission Data — Sales'!$S$7:$S$205,A13-7+1)="",,INDEX('Commission Data — Sales'!$W$7:$W$205,A13-7+1)=""),"Sole PIC (100%)","Shared — your share: "&amp;TEXT(INDEX('Commission Data — Sales'!$P$7:$P$205,A13-7+1),"0%")),IF(INDEX('Commission Data — Sales'!$S$7:$S$205,A13-7+1)=$D$2,"Shared — your share: "&amp;TEXT(INDEX('Commission Data — Sales'!$T$7:$T$205,A13-7+1),"0%"),"Shared — your share: "&amp;TEXT(INDEX('Commission Data — Sales'!$X$7:$X$205,A13-7+1),"0%")))),""),IFERROR(IF(INDEX('Commission Data — Presales'!$N$7:$N$205,A13-7+1)=$D$2,IF(AND(INDEX('Commission Data — Presales'!$Q$7:$Q$205,A13-7+1)="",INDEX('Commission Data — Presales'!$T$7:$T$205,A13-7+1)=""),"Sole Presales (100%)","Shared — your share: "&amp;TEXT(INDEX('Commission Data — Presales'!$O$7:$O$205,A13-7+1),"0%")),IF(INDEX('Commission Data — Presales'!$Q$7:$Q$205,A13-7+1)=$D$2,"Shared — your share: "&amp;TEXT(INDEX('Commission Data — Presales'!$R$7:$R$205,A13-7+1),"0%"),"Shared — your share: "&amp;TEXT(INDEX('Commission Data — Presales'!$U$7:$U$205,A13-7+1),"0%"))),""))))),"")</f>
        <v/>
      </c>
      <c r="N13" t="str">
        <f>IFERROR(IF(INDEX(O4:O258,MATCH($D$2,O4:O258,0)+8)=$D$2,INDEX(P4:P258,MATCH($D$2,O4:O258,0)+8),""),"")</f>
        <v/>
      </c>
      <c r="O13" t="s">
        <v>168</v>
      </c>
      <c r="P13" t="s">
        <v>311</v>
      </c>
      <c r="Q13">
        <v>32</v>
      </c>
      <c r="R13" t="s">
        <v>141</v>
      </c>
    </row>
    <row r="14" spans="1:18" ht="18" customHeight="1" x14ac:dyDescent="0.45">
      <c r="A14" s="83" t="str">
        <f>IFERROR(IF(INDEX(O4:O258,MATCH($D$2,O4:O258,0)+9)=$D$2,INDEX(Q4:Q258,MATCH($D$2,O4:O258,0)+9),""),"")</f>
        <v/>
      </c>
      <c r="B14" s="199" t="str">
        <f>IF(A14&lt;&gt;"",IF(OR(N14="S",N14="M",N14="G",N14="D"),INDEX('Commission Data — Sales'!$C$7:$C$205,A14-7+1),INDEX('Commission Data — Presales'!$C$7:$C$205,A14-7+1)),"")</f>
        <v/>
      </c>
      <c r="C14" s="199" t="str">
        <f>IF(A14&lt;&gt;"",IF(OR(N14="S",N14="M",N14="G",N14="D"),INDEX('Commission Data — Sales'!$D$7:$D$205,A14-7+1),INDEX('Commission Data — Presales'!$D$7:$D$205,A14-7+1)),"")</f>
        <v/>
      </c>
      <c r="D14" s="199" t="str">
        <f>IF(A14&lt;&gt;"",IF(OR(N14="S",N14="M",N14="G",N14="D"),INDEX('Commission Data — Sales'!$E$7:$E$205,A14-7+1),INDEX('Commission Data — Presales'!$E$7:$E$205,A14-7+1)),"")</f>
        <v/>
      </c>
      <c r="E14" s="199" t="str">
        <f>IF(A14&lt;&gt;"",IF(OR(N14="S",N14="M",N14="G",N14="D"),INDEX('Commission Data — Sales'!$G$7:$G$205,A14-7+1),INDEX('Commission Data — Presales'!$G$7:$G$205,A14-7+1)),"")</f>
        <v/>
      </c>
      <c r="F14" s="200" t="str">
        <f>IF(A14&lt;&gt;"",IF(OR(N14="S",N14="M",N14="G",N14="D"),INDEX('Commission Data — Sales'!$H$7:$H$205,A14-7+1),INDEX('Commission Data — Presales'!$H$7:$H$205,A14-7+1)),"")</f>
        <v/>
      </c>
      <c r="G14" s="201" t="str">
        <f>IF(A14&lt;&gt;"",IF(OR(N14="S",N14="M",N14="G",N14="D"),INDEX('Commission Data — Sales'!$N$7:$N$205,A14-7+1),"Presales"),"")</f>
        <v/>
      </c>
      <c r="H14" s="202" t="str">
        <f>IF(A14&lt;&gt;"",IF(OR(N14="S",N14="M",N14="G",N14="D"),INDEX('Commission Data — Sales'!$L$7:$L$205,A14-7+1),INDEX('Commission Data — Presales'!$L$7:$L$205,A14-7+1)),"")</f>
        <v/>
      </c>
      <c r="I14" s="203">
        <f>IF(A14&lt;&gt;"",IF(OR(N14="S",N14="M",N14="G",N14="D"),INDEX('Commission Data — Sales'!$M$7:$M$205,A14-7+1),INDEX('Commission Data — Presales'!$M$7:$M$205,A14-7+1)),0)</f>
        <v>0</v>
      </c>
      <c r="J14" s="204" t="str">
        <f>IF(A14&lt;&gt;"",IF(N14="M",Config!$C$22,IF(N14="G",Config!$C$23,IF(N14="D",Config!$C$24,IF(N14="S",IFERROR(IF(INDEX('Commission Data — Sales'!$O$7:$O$205,A14-7+1)=$D$2,INDEX('Commission Data — Sales'!$Q$7:$Q$205,A14-7+1)*INDEX('Commission Data — Sales'!$P$7:$P$205,A14-7+1),IF(INDEX('Commission Data — Sales'!$S$7:$S$205,A14-7+1)=$D$2,INDEX('Commission Data — Sales'!$U$7:$U$205,A14-7+1)*INDEX('Commission Data — Sales'!$T$7:$T$205,A14-7+1),INDEX('Commission Data — Sales'!$Y$7:$Y$205,A14-7+1)*INDEX('Commission Data — Sales'!$X$7:$X$205,A14-7+1))),0),IFERROR(IF(INDEX('Commission Data — Presales'!$N$7:$N$205,A14-7+1)=$D$2,Config!$C$25*INDEX('Commission Data — Presales'!$O$7:$O$205,A14-7+1),IF(INDEX('Commission Data — Presales'!$Q$7:$Q$205,A14-7+1)=$D$2,Config!$C$25*INDEX('Commission Data — Presales'!$R$7:$R$205,A14-7+1),Config!$C$25*INDEX('Commission Data — Presales'!$U$7:$U$205,A14-7+1))),0))))),"")</f>
        <v/>
      </c>
      <c r="K14" s="205" t="str">
        <f>IF(A14&lt;&gt;"",IF(N14="M",IFERROR(INDEX('Commission Data — Sales'!$AB$7:$AB$205,A14-7+1),0),IF(N14="G",IFERROR(INDEX('Commission Data — Sales'!$AD$7:$AD$205,A14-7+1),0),IF(N14="D",IFERROR(INDEX('Commission Data — Sales'!$AF$7:$AF$205,A14-7+1),0),IF(N14="S",IFERROR(IF(INDEX('Commission Data — Sales'!$O$7:$O$205,A14-7+1)=$D$2,INDEX('Commission Data — Sales'!$R$7:$R$205,A14-7+1),0)+IF(INDEX('Commission Data — Sales'!$S$7:$S$205,A14-7+1)=$D$2,INDEX('Commission Data — Sales'!$V$7:$V$205,A14-7+1),0)+IF(INDEX('Commission Data — Sales'!$W$7:$W$205,A14-7+1)=$D$2,INDEX('Commission Data — Sales'!$Z$7:$Z$205,A14-7+1),0),0),IFERROR(IF(INDEX('Commission Data — Presales'!$N$7:$N$205,A14-7+1)=$D$2,INDEX('Commission Data — Presales'!$P$7:$P$205,A14-7+1),0)+IF(INDEX('Commission Data — Presales'!$Q$7:$Q$205,A14-7+1)=$D$2,INDEX('Commission Data — Presales'!$S$7:$S$205,A14-7+1),0)+IF(INDEX('Commission Data — Presales'!$T$7:$T$205,A14-7+1)=$D$2,INDEX('Commission Data — Presales'!$V$7:$V$205,A14-7+1),0),0))))),"")</f>
        <v/>
      </c>
      <c r="L14" s="163" t="str">
        <f>IF(A14&lt;&gt;"",IF(N14="M",IFERROR(INDEX('Commission Data — Sales'!$AB$7:$AB$205,A14-7+1),0),IF(N14="G",IFERROR(INDEX('Commission Data — Sales'!$AD$7:$AD$205,A14-7+1),0),IF(N14="D",IFERROR(INDEX('Commission Data — Sales'!$AF$7:$AF$205,A14-7+1),0),IF(N14="S",IFERROR(IF(INDEX('Commission Data — Sales'!$O$7:$O$205,A14-7+1)=$D$2,INDEX('Commission Data — Sales'!$AQ$7:$AQ$205,A14-7+1),0)+IF(INDEX('Commission Data — Sales'!$S$7:$S$205,A14-7+1)=$D$2,INDEX('Commission Data — Sales'!$AR$7:$AR$205,A14-7+1),0)+IF(INDEX('Commission Data — Sales'!$W$7:$W$205,A14-7+1)=$D$2,INDEX('Commission Data — Sales'!$AS$7:$AS$205,A14-7+1),0),0),IFERROR(IF(INDEX('Commission Data — Presales'!$N$7:$N$205,A14-7+1)=$D$2,INDEX('Commission Data — Presales'!$P$7:$P$205,A14-7+1),0)+IF(INDEX('Commission Data — Presales'!$Q$7:$Q$205,A14-7+1)=$D$2,INDEX('Commission Data — Presales'!$S$7:$S$205,A14-7+1),0)+IF(INDEX('Commission Data — Presales'!$T$7:$T$205,A14-7+1)=$D$2,INDEX('Commission Data — Presales'!$V$7:$V$205,A14-7+1),0),0))))),"")</f>
        <v/>
      </c>
      <c r="M14" s="206" t="str">
        <f>IF(A14&lt;&gt;"",IF(N14="M","PM — Umbrella Contract | rate: "&amp;TEXT(Config!$C$22,"0.0%"),IF(N14="G","Manager commission (0.7%)",IF(N14="D","Director commission (0.3%)",IF(N14="S",IFERROR(IF(INDEX('Commission Data — Sales'!$N$7:$N$205,A14-7+1)="Umbrella Contract","Umbrella Contract — your rate: "&amp;TEXT(Config!$C$21,"0.0%")&amp;IF(INDEX('Commission Data — Sales'!$AA$7:$AA$205,A14-7+1)&lt;&gt;""," | PM: "&amp;INDEX('Commission Data — Sales'!$AA$7:$AA$205,A14-7+1)&amp;" ("&amp;TEXT(Config!$C$22,"0.0%")&amp;")",""),IF(INDEX('Commission Data — Sales'!$O$7:$O$205,A14-7+1)=$D$2,IF(AND(INDEX('Commission Data — Sales'!$S$7:$S$205,A14-7+1)="",,INDEX('Commission Data — Sales'!$W$7:$W$205,A14-7+1)=""),"Sole PIC (100%)","Shared — your share: "&amp;TEXT(INDEX('Commission Data — Sales'!$P$7:$P$205,A14-7+1),"0%")),IF(INDEX('Commission Data — Sales'!$S$7:$S$205,A14-7+1)=$D$2,"Shared — your share: "&amp;TEXT(INDEX('Commission Data — Sales'!$T$7:$T$205,A14-7+1),"0%"),"Shared — your share: "&amp;TEXT(INDEX('Commission Data — Sales'!$X$7:$X$205,A14-7+1),"0%")))),""),IFERROR(IF(INDEX('Commission Data — Presales'!$N$7:$N$205,A14-7+1)=$D$2,IF(AND(INDEX('Commission Data — Presales'!$Q$7:$Q$205,A14-7+1)="",INDEX('Commission Data — Presales'!$T$7:$T$205,A14-7+1)=""),"Sole Presales (100%)","Shared — your share: "&amp;TEXT(INDEX('Commission Data — Presales'!$O$7:$O$205,A14-7+1),"0%")),IF(INDEX('Commission Data — Presales'!$Q$7:$Q$205,A14-7+1)=$D$2,"Shared — your share: "&amp;TEXT(INDEX('Commission Data — Presales'!$R$7:$R$205,A14-7+1),"0%"),"Shared — your share: "&amp;TEXT(INDEX('Commission Data — Presales'!$U$7:$U$205,A14-7+1),"0%"))),""))))),"")</f>
        <v/>
      </c>
      <c r="N14" t="str">
        <f>IFERROR(IF(INDEX(O4:O258,MATCH($D$2,O4:O258,0)+9)=$D$2,INDEX(P4:P258,MATCH($D$2,O4:O258,0)+9),""),"")</f>
        <v/>
      </c>
      <c r="O14" t="s">
        <v>168</v>
      </c>
      <c r="P14" t="s">
        <v>311</v>
      </c>
      <c r="Q14">
        <v>33</v>
      </c>
      <c r="R14" t="s">
        <v>146</v>
      </c>
    </row>
    <row r="15" spans="1:18" ht="18" customHeight="1" x14ac:dyDescent="0.45">
      <c r="A15" s="83" t="str">
        <f>IFERROR(IF(INDEX(O4:O258,MATCH($D$2,O4:O258,0)+10)=$D$2,INDEX(Q4:Q258,MATCH($D$2,O4:O258,0)+10),""),"")</f>
        <v/>
      </c>
      <c r="B15" s="191" t="str">
        <f>IF(A15&lt;&gt;"",IF(OR(N15="S",N15="M",N15="G",N15="D"),INDEX('Commission Data — Sales'!$C$7:$C$205,A15-7+1),INDEX('Commission Data — Presales'!$C$7:$C$205,A15-7+1)),"")</f>
        <v/>
      </c>
      <c r="C15" s="191" t="str">
        <f>IF(A15&lt;&gt;"",IF(OR(N15="S",N15="M",N15="G",N15="D"),INDEX('Commission Data — Sales'!$D$7:$D$205,A15-7+1),INDEX('Commission Data — Presales'!$D$7:$D$205,A15-7+1)),"")</f>
        <v/>
      </c>
      <c r="D15" s="191" t="str">
        <f>IF(A15&lt;&gt;"",IF(OR(N15="S",N15="M",N15="G",N15="D"),INDEX('Commission Data — Sales'!$E$7:$E$205,A15-7+1),INDEX('Commission Data — Presales'!$E$7:$E$205,A15-7+1)),"")</f>
        <v/>
      </c>
      <c r="E15" s="191" t="str">
        <f>IF(A15&lt;&gt;"",IF(OR(N15="S",N15="M",N15="G",N15="D"),INDEX('Commission Data — Sales'!$G$7:$G$205,A15-7+1),INDEX('Commission Data — Presales'!$G$7:$G$205,A15-7+1)),"")</f>
        <v/>
      </c>
      <c r="F15" s="192" t="str">
        <f>IF(A15&lt;&gt;"",IF(OR(N15="S",N15="M",N15="G",N15="D"),INDEX('Commission Data — Sales'!$H$7:$H$205,A15-7+1),INDEX('Commission Data — Presales'!$H$7:$H$205,A15-7+1)),"")</f>
        <v/>
      </c>
      <c r="G15" s="193" t="str">
        <f>IF(A15&lt;&gt;"",IF(OR(N15="S",N15="M",N15="G",N15="D"),INDEX('Commission Data — Sales'!$N$7:$N$205,A15-7+1),"Presales"),"")</f>
        <v/>
      </c>
      <c r="H15" s="194" t="str">
        <f>IF(A15&lt;&gt;"",IF(OR(N15="S",N15="M",N15="G",N15="D"),INDEX('Commission Data — Sales'!$L$7:$L$205,A15-7+1),INDEX('Commission Data — Presales'!$L$7:$L$205,A15-7+1)),"")</f>
        <v/>
      </c>
      <c r="I15" s="195">
        <f>IF(A15&lt;&gt;"",IF(OR(N15="S",N15="M",N15="G",N15="D"),INDEX('Commission Data — Sales'!$M$7:$M$205,A15-7+1),INDEX('Commission Data — Presales'!$M$7:$M$205,A15-7+1)),0)</f>
        <v>0</v>
      </c>
      <c r="J15" s="196" t="str">
        <f>IF(A15&lt;&gt;"",IF(N15="M",Config!$C$22,IF(N15="G",Config!$C$23,IF(N15="D",Config!$C$24,IF(N15="S",IFERROR(IF(INDEX('Commission Data — Sales'!$O$7:$O$205,A15-7+1)=$D$2,INDEX('Commission Data — Sales'!$Q$7:$Q$205,A15-7+1)*INDEX('Commission Data — Sales'!$P$7:$P$205,A15-7+1),IF(INDEX('Commission Data — Sales'!$S$7:$S$205,A15-7+1)=$D$2,INDEX('Commission Data — Sales'!$U$7:$U$205,A15-7+1)*INDEX('Commission Data — Sales'!$T$7:$T$205,A15-7+1),INDEX('Commission Data — Sales'!$Y$7:$Y$205,A15-7+1)*INDEX('Commission Data — Sales'!$X$7:$X$205,A15-7+1))),0),IFERROR(IF(INDEX('Commission Data — Presales'!$N$7:$N$205,A15-7+1)=$D$2,Config!$C$25*INDEX('Commission Data — Presales'!$O$7:$O$205,A15-7+1),IF(INDEX('Commission Data — Presales'!$Q$7:$Q$205,A15-7+1)=$D$2,Config!$C$25*INDEX('Commission Data — Presales'!$R$7:$R$205,A15-7+1),Config!$C$25*INDEX('Commission Data — Presales'!$U$7:$U$205,A15-7+1))),0))))),"")</f>
        <v/>
      </c>
      <c r="K15" s="197" t="str">
        <f>IF(A15&lt;&gt;"",IF(N15="M",IFERROR(INDEX('Commission Data — Sales'!$AB$7:$AB$205,A15-7+1),0),IF(N15="G",IFERROR(INDEX('Commission Data — Sales'!$AD$7:$AD$205,A15-7+1),0),IF(N15="D",IFERROR(INDEX('Commission Data — Sales'!$AF$7:$AF$205,A15-7+1),0),IF(N15="S",IFERROR(IF(INDEX('Commission Data — Sales'!$O$7:$O$205,A15-7+1)=$D$2,INDEX('Commission Data — Sales'!$R$7:$R$205,A15-7+1),0)+IF(INDEX('Commission Data — Sales'!$S$7:$S$205,A15-7+1)=$D$2,INDEX('Commission Data — Sales'!$V$7:$V$205,A15-7+1),0)+IF(INDEX('Commission Data — Sales'!$W$7:$W$205,A15-7+1)=$D$2,INDEX('Commission Data — Sales'!$Z$7:$Z$205,A15-7+1),0),0),IFERROR(IF(INDEX('Commission Data — Presales'!$N$7:$N$205,A15-7+1)=$D$2,INDEX('Commission Data — Presales'!$P$7:$P$205,A15-7+1),0)+IF(INDEX('Commission Data — Presales'!$Q$7:$Q$205,A15-7+1)=$D$2,INDEX('Commission Data — Presales'!$S$7:$S$205,A15-7+1),0)+IF(INDEX('Commission Data — Presales'!$T$7:$T$205,A15-7+1)=$D$2,INDEX('Commission Data — Presales'!$V$7:$V$205,A15-7+1),0),0))))),"")</f>
        <v/>
      </c>
      <c r="L15" s="155" t="str">
        <f>IF(A15&lt;&gt;"",IF(N15="M",IFERROR(INDEX('Commission Data — Sales'!$AB$7:$AB$205,A15-7+1),0),IF(N15="G",IFERROR(INDEX('Commission Data — Sales'!$AD$7:$AD$205,A15-7+1),0),IF(N15="D",IFERROR(INDEX('Commission Data — Sales'!$AF$7:$AF$205,A15-7+1),0),IF(N15="S",IFERROR(IF(INDEX('Commission Data — Sales'!$O$7:$O$205,A15-7+1)=$D$2,INDEX('Commission Data — Sales'!$AQ$7:$AQ$205,A15-7+1),0)+IF(INDEX('Commission Data — Sales'!$S$7:$S$205,A15-7+1)=$D$2,INDEX('Commission Data — Sales'!$AR$7:$AR$205,A15-7+1),0)+IF(INDEX('Commission Data — Sales'!$W$7:$W$205,A15-7+1)=$D$2,INDEX('Commission Data — Sales'!$AS$7:$AS$205,A15-7+1),0),0),IFERROR(IF(INDEX('Commission Data — Presales'!$N$7:$N$205,A15-7+1)=$D$2,INDEX('Commission Data — Presales'!$P$7:$P$205,A15-7+1),0)+IF(INDEX('Commission Data — Presales'!$Q$7:$Q$205,A15-7+1)=$D$2,INDEX('Commission Data — Presales'!$S$7:$S$205,A15-7+1),0)+IF(INDEX('Commission Data — Presales'!$T$7:$T$205,A15-7+1)=$D$2,INDEX('Commission Data — Presales'!$V$7:$V$205,A15-7+1),0),0))))),"")</f>
        <v/>
      </c>
      <c r="M15" s="198" t="str">
        <f>IF(A15&lt;&gt;"",IF(N15="M","PM — Umbrella Contract | rate: "&amp;TEXT(Config!$C$22,"0.0%"),IF(N15="G","Manager commission (0.7%)",IF(N15="D","Director commission (0.3%)",IF(N15="S",IFERROR(IF(INDEX('Commission Data — Sales'!$N$7:$N$205,A15-7+1)="Umbrella Contract","Umbrella Contract — your rate: "&amp;TEXT(Config!$C$21,"0.0%")&amp;IF(INDEX('Commission Data — Sales'!$AA$7:$AA$205,A15-7+1)&lt;&gt;""," | PM: "&amp;INDEX('Commission Data — Sales'!$AA$7:$AA$205,A15-7+1)&amp;" ("&amp;TEXT(Config!$C$22,"0.0%")&amp;")",""),IF(INDEX('Commission Data — Sales'!$O$7:$O$205,A15-7+1)=$D$2,IF(AND(INDEX('Commission Data — Sales'!$S$7:$S$205,A15-7+1)="",,INDEX('Commission Data — Sales'!$W$7:$W$205,A15-7+1)=""),"Sole PIC (100%)","Shared — your share: "&amp;TEXT(INDEX('Commission Data — Sales'!$P$7:$P$205,A15-7+1),"0%")),IF(INDEX('Commission Data — Sales'!$S$7:$S$205,A15-7+1)=$D$2,"Shared — your share: "&amp;TEXT(INDEX('Commission Data — Sales'!$T$7:$T$205,A15-7+1),"0%"),"Shared — your share: "&amp;TEXT(INDEX('Commission Data — Sales'!$X$7:$X$205,A15-7+1),"0%")))),""),IFERROR(IF(INDEX('Commission Data — Presales'!$N$7:$N$205,A15-7+1)=$D$2,IF(AND(INDEX('Commission Data — Presales'!$Q$7:$Q$205,A15-7+1)="",INDEX('Commission Data — Presales'!$T$7:$T$205,A15-7+1)=""),"Sole Presales (100%)","Shared — your share: "&amp;TEXT(INDEX('Commission Data — Presales'!$O$7:$O$205,A15-7+1),"0%")),IF(INDEX('Commission Data — Presales'!$Q$7:$Q$205,A15-7+1)=$D$2,"Shared — your share: "&amp;TEXT(INDEX('Commission Data — Presales'!$R$7:$R$205,A15-7+1),"0%"),"Shared — your share: "&amp;TEXT(INDEX('Commission Data — Presales'!$U$7:$U$205,A15-7+1),"0%"))),""))))),"")</f>
        <v/>
      </c>
      <c r="N15" t="str">
        <f>IFERROR(IF(INDEX(O4:O258,MATCH($D$2,O4:O258,0)+10)=$D$2,INDEX(P4:P258,MATCH($D$2,O4:O258,0)+10),""),"")</f>
        <v/>
      </c>
      <c r="O15" t="s">
        <v>168</v>
      </c>
      <c r="P15" t="s">
        <v>311</v>
      </c>
      <c r="Q15">
        <v>34</v>
      </c>
      <c r="R15" t="s">
        <v>164</v>
      </c>
    </row>
    <row r="16" spans="1:18" ht="18" customHeight="1" x14ac:dyDescent="0.45">
      <c r="A16" s="83" t="str">
        <f>IFERROR(IF(INDEX(O4:O258,MATCH($D$2,O4:O258,0)+11)=$D$2,INDEX(Q4:Q258,MATCH($D$2,O4:O258,0)+11),""),"")</f>
        <v/>
      </c>
      <c r="B16" s="199" t="str">
        <f>IF(A16&lt;&gt;"",IF(OR(N16="S",N16="M",N16="G",N16="D"),INDEX('Commission Data — Sales'!$C$7:$C$205,A16-7+1),INDEX('Commission Data — Presales'!$C$7:$C$205,A16-7+1)),"")</f>
        <v/>
      </c>
      <c r="C16" s="199" t="str">
        <f>IF(A16&lt;&gt;"",IF(OR(N16="S",N16="M",N16="G",N16="D"),INDEX('Commission Data — Sales'!$D$7:$D$205,A16-7+1),INDEX('Commission Data — Presales'!$D$7:$D$205,A16-7+1)),"")</f>
        <v/>
      </c>
      <c r="D16" s="199" t="str">
        <f>IF(A16&lt;&gt;"",IF(OR(N16="S",N16="M",N16="G",N16="D"),INDEX('Commission Data — Sales'!$E$7:$E$205,A16-7+1),INDEX('Commission Data — Presales'!$E$7:$E$205,A16-7+1)),"")</f>
        <v/>
      </c>
      <c r="E16" s="199" t="str">
        <f>IF(A16&lt;&gt;"",IF(OR(N16="S",N16="M",N16="G",N16="D"),INDEX('Commission Data — Sales'!$G$7:$G$205,A16-7+1),INDEX('Commission Data — Presales'!$G$7:$G$205,A16-7+1)),"")</f>
        <v/>
      </c>
      <c r="F16" s="200" t="str">
        <f>IF(A16&lt;&gt;"",IF(OR(N16="S",N16="M",N16="G",N16="D"),INDEX('Commission Data — Sales'!$H$7:$H$205,A16-7+1),INDEX('Commission Data — Presales'!$H$7:$H$205,A16-7+1)),"")</f>
        <v/>
      </c>
      <c r="G16" s="201" t="str">
        <f>IF(A16&lt;&gt;"",IF(OR(N16="S",N16="M",N16="G",N16="D"),INDEX('Commission Data — Sales'!$N$7:$N$205,A16-7+1),"Presales"),"")</f>
        <v/>
      </c>
      <c r="H16" s="202" t="str">
        <f>IF(A16&lt;&gt;"",IF(OR(N16="S",N16="M",N16="G",N16="D"),INDEX('Commission Data — Sales'!$L$7:$L$205,A16-7+1),INDEX('Commission Data — Presales'!$L$7:$L$205,A16-7+1)),"")</f>
        <v/>
      </c>
      <c r="I16" s="203">
        <f>IF(A16&lt;&gt;"",IF(OR(N16="S",N16="M",N16="G",N16="D"),INDEX('Commission Data — Sales'!$M$7:$M$205,A16-7+1),INDEX('Commission Data — Presales'!$M$7:$M$205,A16-7+1)),0)</f>
        <v>0</v>
      </c>
      <c r="J16" s="204" t="str">
        <f>IF(A16&lt;&gt;"",IF(N16="M",Config!$C$22,IF(N16="G",Config!$C$23,IF(N16="D",Config!$C$24,IF(N16="S",IFERROR(IF(INDEX('Commission Data — Sales'!$O$7:$O$205,A16-7+1)=$D$2,INDEX('Commission Data — Sales'!$Q$7:$Q$205,A16-7+1)*INDEX('Commission Data — Sales'!$P$7:$P$205,A16-7+1),IF(INDEX('Commission Data — Sales'!$S$7:$S$205,A16-7+1)=$D$2,INDEX('Commission Data — Sales'!$U$7:$U$205,A16-7+1)*INDEX('Commission Data — Sales'!$T$7:$T$205,A16-7+1),INDEX('Commission Data — Sales'!$Y$7:$Y$205,A16-7+1)*INDEX('Commission Data — Sales'!$X$7:$X$205,A16-7+1))),0),IFERROR(IF(INDEX('Commission Data — Presales'!$N$7:$N$205,A16-7+1)=$D$2,Config!$C$25*INDEX('Commission Data — Presales'!$O$7:$O$205,A16-7+1),IF(INDEX('Commission Data — Presales'!$Q$7:$Q$205,A16-7+1)=$D$2,Config!$C$25*INDEX('Commission Data — Presales'!$R$7:$R$205,A16-7+1),Config!$C$25*INDEX('Commission Data — Presales'!$U$7:$U$205,A16-7+1))),0))))),"")</f>
        <v/>
      </c>
      <c r="K16" s="205" t="str">
        <f>IF(A16&lt;&gt;"",IF(N16="M",IFERROR(INDEX('Commission Data — Sales'!$AB$7:$AB$205,A16-7+1),0),IF(N16="G",IFERROR(INDEX('Commission Data — Sales'!$AD$7:$AD$205,A16-7+1),0),IF(N16="D",IFERROR(INDEX('Commission Data — Sales'!$AF$7:$AF$205,A16-7+1),0),IF(N16="S",IFERROR(IF(INDEX('Commission Data — Sales'!$O$7:$O$205,A16-7+1)=$D$2,INDEX('Commission Data — Sales'!$R$7:$R$205,A16-7+1),0)+IF(INDEX('Commission Data — Sales'!$S$7:$S$205,A16-7+1)=$D$2,INDEX('Commission Data — Sales'!$V$7:$V$205,A16-7+1),0)+IF(INDEX('Commission Data — Sales'!$W$7:$W$205,A16-7+1)=$D$2,INDEX('Commission Data — Sales'!$Z$7:$Z$205,A16-7+1),0),0),IFERROR(IF(INDEX('Commission Data — Presales'!$N$7:$N$205,A16-7+1)=$D$2,INDEX('Commission Data — Presales'!$P$7:$P$205,A16-7+1),0)+IF(INDEX('Commission Data — Presales'!$Q$7:$Q$205,A16-7+1)=$D$2,INDEX('Commission Data — Presales'!$S$7:$S$205,A16-7+1),0)+IF(INDEX('Commission Data — Presales'!$T$7:$T$205,A16-7+1)=$D$2,INDEX('Commission Data — Presales'!$V$7:$V$205,A16-7+1),0),0))))),"")</f>
        <v/>
      </c>
      <c r="L16" s="163" t="str">
        <f>IF(A16&lt;&gt;"",IF(N16="M",IFERROR(INDEX('Commission Data — Sales'!$AB$7:$AB$205,A16-7+1),0),IF(N16="G",IFERROR(INDEX('Commission Data — Sales'!$AD$7:$AD$205,A16-7+1),0),IF(N16="D",IFERROR(INDEX('Commission Data — Sales'!$AF$7:$AF$205,A16-7+1),0),IF(N16="S",IFERROR(IF(INDEX('Commission Data — Sales'!$O$7:$O$205,A16-7+1)=$D$2,INDEX('Commission Data — Sales'!$AQ$7:$AQ$205,A16-7+1),0)+IF(INDEX('Commission Data — Sales'!$S$7:$S$205,A16-7+1)=$D$2,INDEX('Commission Data — Sales'!$AR$7:$AR$205,A16-7+1),0)+IF(INDEX('Commission Data — Sales'!$W$7:$W$205,A16-7+1)=$D$2,INDEX('Commission Data — Sales'!$AS$7:$AS$205,A16-7+1),0),0),IFERROR(IF(INDEX('Commission Data — Presales'!$N$7:$N$205,A16-7+1)=$D$2,INDEX('Commission Data — Presales'!$P$7:$P$205,A16-7+1),0)+IF(INDEX('Commission Data — Presales'!$Q$7:$Q$205,A16-7+1)=$D$2,INDEX('Commission Data — Presales'!$S$7:$S$205,A16-7+1),0)+IF(INDEX('Commission Data — Presales'!$T$7:$T$205,A16-7+1)=$D$2,INDEX('Commission Data — Presales'!$V$7:$V$205,A16-7+1),0),0))))),"")</f>
        <v/>
      </c>
      <c r="M16" s="206" t="str">
        <f>IF(A16&lt;&gt;"",IF(N16="M","PM — Umbrella Contract | rate: "&amp;TEXT(Config!$C$22,"0.0%"),IF(N16="G","Manager commission (0.7%)",IF(N16="D","Director commission (0.3%)",IF(N16="S",IFERROR(IF(INDEX('Commission Data — Sales'!$N$7:$N$205,A16-7+1)="Umbrella Contract","Umbrella Contract — your rate: "&amp;TEXT(Config!$C$21,"0.0%")&amp;IF(INDEX('Commission Data — Sales'!$AA$7:$AA$205,A16-7+1)&lt;&gt;""," | PM: "&amp;INDEX('Commission Data — Sales'!$AA$7:$AA$205,A16-7+1)&amp;" ("&amp;TEXT(Config!$C$22,"0.0%")&amp;")",""),IF(INDEX('Commission Data — Sales'!$O$7:$O$205,A16-7+1)=$D$2,IF(AND(INDEX('Commission Data — Sales'!$S$7:$S$205,A16-7+1)="",,INDEX('Commission Data — Sales'!$W$7:$W$205,A16-7+1)=""),"Sole PIC (100%)","Shared — your share: "&amp;TEXT(INDEX('Commission Data — Sales'!$P$7:$P$205,A16-7+1),"0%")),IF(INDEX('Commission Data — Sales'!$S$7:$S$205,A16-7+1)=$D$2,"Shared — your share: "&amp;TEXT(INDEX('Commission Data — Sales'!$T$7:$T$205,A16-7+1),"0%"),"Shared — your share: "&amp;TEXT(INDEX('Commission Data — Sales'!$X$7:$X$205,A16-7+1),"0%")))),""),IFERROR(IF(INDEX('Commission Data — Presales'!$N$7:$N$205,A16-7+1)=$D$2,IF(AND(INDEX('Commission Data — Presales'!$Q$7:$Q$205,A16-7+1)="",INDEX('Commission Data — Presales'!$T$7:$T$205,A16-7+1)=""),"Sole Presales (100%)","Shared — your share: "&amp;TEXT(INDEX('Commission Data — Presales'!$O$7:$O$205,A16-7+1),"0%")),IF(INDEX('Commission Data — Presales'!$Q$7:$Q$205,A16-7+1)=$D$2,"Shared — your share: "&amp;TEXT(INDEX('Commission Data — Presales'!$R$7:$R$205,A16-7+1),"0%"),"Shared — your share: "&amp;TEXT(INDEX('Commission Data — Presales'!$U$7:$U$205,A16-7+1),"0%"))),""))))),"")</f>
        <v/>
      </c>
      <c r="N16" t="str">
        <f>IFERROR(IF(INDEX(O4:O258,MATCH($D$2,O4:O258,0)+11)=$D$2,INDEX(P4:P258,MATCH($D$2,O4:O258,0)+11),""),"")</f>
        <v/>
      </c>
      <c r="O16" t="s">
        <v>168</v>
      </c>
      <c r="P16" t="s">
        <v>311</v>
      </c>
      <c r="Q16">
        <v>35</v>
      </c>
      <c r="R16" t="s">
        <v>166</v>
      </c>
    </row>
    <row r="17" spans="1:18" ht="18" customHeight="1" x14ac:dyDescent="0.45">
      <c r="A17" s="83" t="str">
        <f>IFERROR(IF(INDEX(O4:O258,MATCH($D$2,O4:O258,0)+12)=$D$2,INDEX(Q4:Q258,MATCH($D$2,O4:O258,0)+12),""),"")</f>
        <v/>
      </c>
      <c r="B17" s="191" t="str">
        <f>IF(A17&lt;&gt;"",IF(OR(N17="S",N17="M",N17="G",N17="D"),INDEX('Commission Data — Sales'!$C$7:$C$205,A17-7+1),INDEX('Commission Data — Presales'!$C$7:$C$205,A17-7+1)),"")</f>
        <v/>
      </c>
      <c r="C17" s="191" t="str">
        <f>IF(A17&lt;&gt;"",IF(OR(N17="S",N17="M",N17="G",N17="D"),INDEX('Commission Data — Sales'!$D$7:$D$205,A17-7+1),INDEX('Commission Data — Presales'!$D$7:$D$205,A17-7+1)),"")</f>
        <v/>
      </c>
      <c r="D17" s="191" t="str">
        <f>IF(A17&lt;&gt;"",IF(OR(N17="S",N17="M",N17="G",N17="D"),INDEX('Commission Data — Sales'!$E$7:$E$205,A17-7+1),INDEX('Commission Data — Presales'!$E$7:$E$205,A17-7+1)),"")</f>
        <v/>
      </c>
      <c r="E17" s="191" t="str">
        <f>IF(A17&lt;&gt;"",IF(OR(N17="S",N17="M",N17="G",N17="D"),INDEX('Commission Data — Sales'!$G$7:$G$205,A17-7+1),INDEX('Commission Data — Presales'!$G$7:$G$205,A17-7+1)),"")</f>
        <v/>
      </c>
      <c r="F17" s="192" t="str">
        <f>IF(A17&lt;&gt;"",IF(OR(N17="S",N17="M",N17="G",N17="D"),INDEX('Commission Data — Sales'!$H$7:$H$205,A17-7+1),INDEX('Commission Data — Presales'!$H$7:$H$205,A17-7+1)),"")</f>
        <v/>
      </c>
      <c r="G17" s="193" t="str">
        <f>IF(A17&lt;&gt;"",IF(OR(N17="S",N17="M",N17="G",N17="D"),INDEX('Commission Data — Sales'!$N$7:$N$205,A17-7+1),"Presales"),"")</f>
        <v/>
      </c>
      <c r="H17" s="194" t="str">
        <f>IF(A17&lt;&gt;"",IF(OR(N17="S",N17="M",N17="G",N17="D"),INDEX('Commission Data — Sales'!$L$7:$L$205,A17-7+1),INDEX('Commission Data — Presales'!$L$7:$L$205,A17-7+1)),"")</f>
        <v/>
      </c>
      <c r="I17" s="195">
        <f>IF(A17&lt;&gt;"",IF(OR(N17="S",N17="M",N17="G",N17="D"),INDEX('Commission Data — Sales'!$M$7:$M$205,A17-7+1),INDEX('Commission Data — Presales'!$M$7:$M$205,A17-7+1)),0)</f>
        <v>0</v>
      </c>
      <c r="J17" s="196" t="str">
        <f>IF(A17&lt;&gt;"",IF(N17="M",Config!$C$22,IF(N17="G",Config!$C$23,IF(N17="D",Config!$C$24,IF(N17="S",IFERROR(IF(INDEX('Commission Data — Sales'!$O$7:$O$205,A17-7+1)=$D$2,INDEX('Commission Data — Sales'!$Q$7:$Q$205,A17-7+1)*INDEX('Commission Data — Sales'!$P$7:$P$205,A17-7+1),IF(INDEX('Commission Data — Sales'!$S$7:$S$205,A17-7+1)=$D$2,INDEX('Commission Data — Sales'!$U$7:$U$205,A17-7+1)*INDEX('Commission Data — Sales'!$T$7:$T$205,A17-7+1),INDEX('Commission Data — Sales'!$Y$7:$Y$205,A17-7+1)*INDEX('Commission Data — Sales'!$X$7:$X$205,A17-7+1))),0),IFERROR(IF(INDEX('Commission Data — Presales'!$N$7:$N$205,A17-7+1)=$D$2,Config!$C$25*INDEX('Commission Data — Presales'!$O$7:$O$205,A17-7+1),IF(INDEX('Commission Data — Presales'!$Q$7:$Q$205,A17-7+1)=$D$2,Config!$C$25*INDEX('Commission Data — Presales'!$R$7:$R$205,A17-7+1),Config!$C$25*INDEX('Commission Data — Presales'!$U$7:$U$205,A17-7+1))),0))))),"")</f>
        <v/>
      </c>
      <c r="K17" s="197" t="str">
        <f>IF(A17&lt;&gt;"",IF(N17="M",IFERROR(INDEX('Commission Data — Sales'!$AB$7:$AB$205,A17-7+1),0),IF(N17="G",IFERROR(INDEX('Commission Data — Sales'!$AD$7:$AD$205,A17-7+1),0),IF(N17="D",IFERROR(INDEX('Commission Data — Sales'!$AF$7:$AF$205,A17-7+1),0),IF(N17="S",IFERROR(IF(INDEX('Commission Data — Sales'!$O$7:$O$205,A17-7+1)=$D$2,INDEX('Commission Data — Sales'!$R$7:$R$205,A17-7+1),0)+IF(INDEX('Commission Data — Sales'!$S$7:$S$205,A17-7+1)=$D$2,INDEX('Commission Data — Sales'!$V$7:$V$205,A17-7+1),0)+IF(INDEX('Commission Data — Sales'!$W$7:$W$205,A17-7+1)=$D$2,INDEX('Commission Data — Sales'!$Z$7:$Z$205,A17-7+1),0),0),IFERROR(IF(INDEX('Commission Data — Presales'!$N$7:$N$205,A17-7+1)=$D$2,INDEX('Commission Data — Presales'!$P$7:$P$205,A17-7+1),0)+IF(INDEX('Commission Data — Presales'!$Q$7:$Q$205,A17-7+1)=$D$2,INDEX('Commission Data — Presales'!$S$7:$S$205,A17-7+1),0)+IF(INDEX('Commission Data — Presales'!$T$7:$T$205,A17-7+1)=$D$2,INDEX('Commission Data — Presales'!$V$7:$V$205,A17-7+1),0),0))))),"")</f>
        <v/>
      </c>
      <c r="L17" s="155" t="str">
        <f>IF(A17&lt;&gt;"",IF(N17="M",IFERROR(INDEX('Commission Data — Sales'!$AB$7:$AB$205,A17-7+1),0),IF(N17="G",IFERROR(INDEX('Commission Data — Sales'!$AD$7:$AD$205,A17-7+1),0),IF(N17="D",IFERROR(INDEX('Commission Data — Sales'!$AF$7:$AF$205,A17-7+1),0),IF(N17="S",IFERROR(IF(INDEX('Commission Data — Sales'!$O$7:$O$205,A17-7+1)=$D$2,INDEX('Commission Data — Sales'!$AQ$7:$AQ$205,A17-7+1),0)+IF(INDEX('Commission Data — Sales'!$S$7:$S$205,A17-7+1)=$D$2,INDEX('Commission Data — Sales'!$AR$7:$AR$205,A17-7+1),0)+IF(INDEX('Commission Data — Sales'!$W$7:$W$205,A17-7+1)=$D$2,INDEX('Commission Data — Sales'!$AS$7:$AS$205,A17-7+1),0),0),IFERROR(IF(INDEX('Commission Data — Presales'!$N$7:$N$205,A17-7+1)=$D$2,INDEX('Commission Data — Presales'!$P$7:$P$205,A17-7+1),0)+IF(INDEX('Commission Data — Presales'!$Q$7:$Q$205,A17-7+1)=$D$2,INDEX('Commission Data — Presales'!$S$7:$S$205,A17-7+1),0)+IF(INDEX('Commission Data — Presales'!$T$7:$T$205,A17-7+1)=$D$2,INDEX('Commission Data — Presales'!$V$7:$V$205,A17-7+1),0),0))))),"")</f>
        <v/>
      </c>
      <c r="M17" s="198" t="str">
        <f>IF(A17&lt;&gt;"",IF(N17="M","PM — Umbrella Contract | rate: "&amp;TEXT(Config!$C$22,"0.0%"),IF(N17="G","Manager commission (0.7%)",IF(N17="D","Director commission (0.3%)",IF(N17="S",IFERROR(IF(INDEX('Commission Data — Sales'!$N$7:$N$205,A17-7+1)="Umbrella Contract","Umbrella Contract — your rate: "&amp;TEXT(Config!$C$21,"0.0%")&amp;IF(INDEX('Commission Data — Sales'!$AA$7:$AA$205,A17-7+1)&lt;&gt;""," | PM: "&amp;INDEX('Commission Data — Sales'!$AA$7:$AA$205,A17-7+1)&amp;" ("&amp;TEXT(Config!$C$22,"0.0%")&amp;")",""),IF(INDEX('Commission Data — Sales'!$O$7:$O$205,A17-7+1)=$D$2,IF(AND(INDEX('Commission Data — Sales'!$S$7:$S$205,A17-7+1)="",,INDEX('Commission Data — Sales'!$W$7:$W$205,A17-7+1)=""),"Sole PIC (100%)","Shared — your share: "&amp;TEXT(INDEX('Commission Data — Sales'!$P$7:$P$205,A17-7+1),"0%")),IF(INDEX('Commission Data — Sales'!$S$7:$S$205,A17-7+1)=$D$2,"Shared — your share: "&amp;TEXT(INDEX('Commission Data — Sales'!$T$7:$T$205,A17-7+1),"0%"),"Shared — your share: "&amp;TEXT(INDEX('Commission Data — Sales'!$X$7:$X$205,A17-7+1),"0%")))),""),IFERROR(IF(INDEX('Commission Data — Presales'!$N$7:$N$205,A17-7+1)=$D$2,IF(AND(INDEX('Commission Data — Presales'!$Q$7:$Q$205,A17-7+1)="",INDEX('Commission Data — Presales'!$T$7:$T$205,A17-7+1)=""),"Sole Presales (100%)","Shared — your share: "&amp;TEXT(INDEX('Commission Data — Presales'!$O$7:$O$205,A17-7+1),"0%")),IF(INDEX('Commission Data — Presales'!$Q$7:$Q$205,A17-7+1)=$D$2,"Shared — your share: "&amp;TEXT(INDEX('Commission Data — Presales'!$R$7:$R$205,A17-7+1),"0%"),"Shared — your share: "&amp;TEXT(INDEX('Commission Data — Presales'!$U$7:$U$205,A17-7+1),"0%"))),""))))),"")</f>
        <v/>
      </c>
      <c r="N17" t="str">
        <f>IFERROR(IF(INDEX(O4:O258,MATCH($D$2,O4:O258,0)+12)=$D$2,INDEX(P4:P258,MATCH($D$2,O4:O258,0)+12),""),"")</f>
        <v/>
      </c>
      <c r="O17" t="s">
        <v>168</v>
      </c>
      <c r="P17" t="s">
        <v>311</v>
      </c>
      <c r="Q17">
        <v>36</v>
      </c>
      <c r="R17" t="s">
        <v>163</v>
      </c>
    </row>
    <row r="18" spans="1:18" ht="18" customHeight="1" x14ac:dyDescent="0.45">
      <c r="A18" s="83" t="str">
        <f>IFERROR(IF(INDEX(O4:O258,MATCH($D$2,O4:O258,0)+13)=$D$2,INDEX(Q4:Q258,MATCH($D$2,O4:O258,0)+13),""),"")</f>
        <v/>
      </c>
      <c r="B18" s="199" t="str">
        <f>IF(A18&lt;&gt;"",IF(OR(N18="S",N18="M",N18="G",N18="D"),INDEX('Commission Data — Sales'!$C$7:$C$205,A18-7+1),INDEX('Commission Data — Presales'!$C$7:$C$205,A18-7+1)),"")</f>
        <v/>
      </c>
      <c r="C18" s="199" t="str">
        <f>IF(A18&lt;&gt;"",IF(OR(N18="S",N18="M",N18="G",N18="D"),INDEX('Commission Data — Sales'!$D$7:$D$205,A18-7+1),INDEX('Commission Data — Presales'!$D$7:$D$205,A18-7+1)),"")</f>
        <v/>
      </c>
      <c r="D18" s="199" t="str">
        <f>IF(A18&lt;&gt;"",IF(OR(N18="S",N18="M",N18="G",N18="D"),INDEX('Commission Data — Sales'!$E$7:$E$205,A18-7+1),INDEX('Commission Data — Presales'!$E$7:$E$205,A18-7+1)),"")</f>
        <v/>
      </c>
      <c r="E18" s="199" t="str">
        <f>IF(A18&lt;&gt;"",IF(OR(N18="S",N18="M",N18="G",N18="D"),INDEX('Commission Data — Sales'!$G$7:$G$205,A18-7+1),INDEX('Commission Data — Presales'!$G$7:$G$205,A18-7+1)),"")</f>
        <v/>
      </c>
      <c r="F18" s="200" t="str">
        <f>IF(A18&lt;&gt;"",IF(OR(N18="S",N18="M",N18="G",N18="D"),INDEX('Commission Data — Sales'!$H$7:$H$205,A18-7+1),INDEX('Commission Data — Presales'!$H$7:$H$205,A18-7+1)),"")</f>
        <v/>
      </c>
      <c r="G18" s="201" t="str">
        <f>IF(A18&lt;&gt;"",IF(OR(N18="S",N18="M",N18="G",N18="D"),INDEX('Commission Data — Sales'!$N$7:$N$205,A18-7+1),"Presales"),"")</f>
        <v/>
      </c>
      <c r="H18" s="202" t="str">
        <f>IF(A18&lt;&gt;"",IF(OR(N18="S",N18="M",N18="G",N18="D"),INDEX('Commission Data — Sales'!$L$7:$L$205,A18-7+1),INDEX('Commission Data — Presales'!$L$7:$L$205,A18-7+1)),"")</f>
        <v/>
      </c>
      <c r="I18" s="203">
        <f>IF(A18&lt;&gt;"",IF(OR(N18="S",N18="M",N18="G",N18="D"),INDEX('Commission Data — Sales'!$M$7:$M$205,A18-7+1),INDEX('Commission Data — Presales'!$M$7:$M$205,A18-7+1)),0)</f>
        <v>0</v>
      </c>
      <c r="J18" s="204" t="str">
        <f>IF(A18&lt;&gt;"",IF(N18="M",Config!$C$22,IF(N18="G",Config!$C$23,IF(N18="D",Config!$C$24,IF(N18="S",IFERROR(IF(INDEX('Commission Data — Sales'!$O$7:$O$205,A18-7+1)=$D$2,INDEX('Commission Data — Sales'!$Q$7:$Q$205,A18-7+1)*INDEX('Commission Data — Sales'!$P$7:$P$205,A18-7+1),IF(INDEX('Commission Data — Sales'!$S$7:$S$205,A18-7+1)=$D$2,INDEX('Commission Data — Sales'!$U$7:$U$205,A18-7+1)*INDEX('Commission Data — Sales'!$T$7:$T$205,A18-7+1),INDEX('Commission Data — Sales'!$Y$7:$Y$205,A18-7+1)*INDEX('Commission Data — Sales'!$X$7:$X$205,A18-7+1))),0),IFERROR(IF(INDEX('Commission Data — Presales'!$N$7:$N$205,A18-7+1)=$D$2,Config!$C$25*INDEX('Commission Data — Presales'!$O$7:$O$205,A18-7+1),IF(INDEX('Commission Data — Presales'!$Q$7:$Q$205,A18-7+1)=$D$2,Config!$C$25*INDEX('Commission Data — Presales'!$R$7:$R$205,A18-7+1),Config!$C$25*INDEX('Commission Data — Presales'!$U$7:$U$205,A18-7+1))),0))))),"")</f>
        <v/>
      </c>
      <c r="K18" s="205" t="str">
        <f>IF(A18&lt;&gt;"",IF(N18="M",IFERROR(INDEX('Commission Data — Sales'!$AB$7:$AB$205,A18-7+1),0),IF(N18="G",IFERROR(INDEX('Commission Data — Sales'!$AD$7:$AD$205,A18-7+1),0),IF(N18="D",IFERROR(INDEX('Commission Data — Sales'!$AF$7:$AF$205,A18-7+1),0),IF(N18="S",IFERROR(IF(INDEX('Commission Data — Sales'!$O$7:$O$205,A18-7+1)=$D$2,INDEX('Commission Data — Sales'!$R$7:$R$205,A18-7+1),0)+IF(INDEX('Commission Data — Sales'!$S$7:$S$205,A18-7+1)=$D$2,INDEX('Commission Data — Sales'!$V$7:$V$205,A18-7+1),0)+IF(INDEX('Commission Data — Sales'!$W$7:$W$205,A18-7+1)=$D$2,INDEX('Commission Data — Sales'!$Z$7:$Z$205,A18-7+1),0),0),IFERROR(IF(INDEX('Commission Data — Presales'!$N$7:$N$205,A18-7+1)=$D$2,INDEX('Commission Data — Presales'!$P$7:$P$205,A18-7+1),0)+IF(INDEX('Commission Data — Presales'!$Q$7:$Q$205,A18-7+1)=$D$2,INDEX('Commission Data — Presales'!$S$7:$S$205,A18-7+1),0)+IF(INDEX('Commission Data — Presales'!$T$7:$T$205,A18-7+1)=$D$2,INDEX('Commission Data — Presales'!$V$7:$V$205,A18-7+1),0),0))))),"")</f>
        <v/>
      </c>
      <c r="L18" s="163" t="str">
        <f>IF(A18&lt;&gt;"",IF(N18="M",IFERROR(INDEX('Commission Data — Sales'!$AB$7:$AB$205,A18-7+1),0),IF(N18="G",IFERROR(INDEX('Commission Data — Sales'!$AD$7:$AD$205,A18-7+1),0),IF(N18="D",IFERROR(INDEX('Commission Data — Sales'!$AF$7:$AF$205,A18-7+1),0),IF(N18="S",IFERROR(IF(INDEX('Commission Data — Sales'!$O$7:$O$205,A18-7+1)=$D$2,INDEX('Commission Data — Sales'!$AQ$7:$AQ$205,A18-7+1),0)+IF(INDEX('Commission Data — Sales'!$S$7:$S$205,A18-7+1)=$D$2,INDEX('Commission Data — Sales'!$AR$7:$AR$205,A18-7+1),0)+IF(INDEX('Commission Data — Sales'!$W$7:$W$205,A18-7+1)=$D$2,INDEX('Commission Data — Sales'!$AS$7:$AS$205,A18-7+1),0),0),IFERROR(IF(INDEX('Commission Data — Presales'!$N$7:$N$205,A18-7+1)=$D$2,INDEX('Commission Data — Presales'!$P$7:$P$205,A18-7+1),0)+IF(INDEX('Commission Data — Presales'!$Q$7:$Q$205,A18-7+1)=$D$2,INDEX('Commission Data — Presales'!$S$7:$S$205,A18-7+1),0)+IF(INDEX('Commission Data — Presales'!$T$7:$T$205,A18-7+1)=$D$2,INDEX('Commission Data — Presales'!$V$7:$V$205,A18-7+1),0),0))))),"")</f>
        <v/>
      </c>
      <c r="M18" s="206" t="str">
        <f>IF(A18&lt;&gt;"",IF(N18="M","PM — Umbrella Contract | rate: "&amp;TEXT(Config!$C$22,"0.0%"),IF(N18="G","Manager commission (0.7%)",IF(N18="D","Director commission (0.3%)",IF(N18="S",IFERROR(IF(INDEX('Commission Data — Sales'!$N$7:$N$205,A18-7+1)="Umbrella Contract","Umbrella Contract — your rate: "&amp;TEXT(Config!$C$21,"0.0%")&amp;IF(INDEX('Commission Data — Sales'!$AA$7:$AA$205,A18-7+1)&lt;&gt;""," | PM: "&amp;INDEX('Commission Data — Sales'!$AA$7:$AA$205,A18-7+1)&amp;" ("&amp;TEXT(Config!$C$22,"0.0%")&amp;")",""),IF(INDEX('Commission Data — Sales'!$O$7:$O$205,A18-7+1)=$D$2,IF(AND(INDEX('Commission Data — Sales'!$S$7:$S$205,A18-7+1)="",,INDEX('Commission Data — Sales'!$W$7:$W$205,A18-7+1)=""),"Sole PIC (100%)","Shared — your share: "&amp;TEXT(INDEX('Commission Data — Sales'!$P$7:$P$205,A18-7+1),"0%")),IF(INDEX('Commission Data — Sales'!$S$7:$S$205,A18-7+1)=$D$2,"Shared — your share: "&amp;TEXT(INDEX('Commission Data — Sales'!$T$7:$T$205,A18-7+1),"0%"),"Shared — your share: "&amp;TEXT(INDEX('Commission Data — Sales'!$X$7:$X$205,A18-7+1),"0%")))),""),IFERROR(IF(INDEX('Commission Data — Presales'!$N$7:$N$205,A18-7+1)=$D$2,IF(AND(INDEX('Commission Data — Presales'!$Q$7:$Q$205,A18-7+1)="",INDEX('Commission Data — Presales'!$T$7:$T$205,A18-7+1)=""),"Sole Presales (100%)","Shared — your share: "&amp;TEXT(INDEX('Commission Data — Presales'!$O$7:$O$205,A18-7+1),"0%")),IF(INDEX('Commission Data — Presales'!$Q$7:$Q$205,A18-7+1)=$D$2,"Shared — your share: "&amp;TEXT(INDEX('Commission Data — Presales'!$R$7:$R$205,A18-7+1),"0%"),"Shared — your share: "&amp;TEXT(INDEX('Commission Data — Presales'!$U$7:$U$205,A18-7+1),"0%"))),""))))),"")</f>
        <v/>
      </c>
      <c r="N18" t="str">
        <f>IFERROR(IF(INDEX(O4:O258,MATCH($D$2,O4:O258,0)+13)=$D$2,INDEX(P4:P258,MATCH($D$2,O4:O258,0)+13),""),"")</f>
        <v/>
      </c>
      <c r="O18" t="s">
        <v>168</v>
      </c>
      <c r="P18" t="s">
        <v>311</v>
      </c>
      <c r="Q18">
        <v>37</v>
      </c>
      <c r="R18" t="s">
        <v>145</v>
      </c>
    </row>
    <row r="19" spans="1:18" ht="18" customHeight="1" x14ac:dyDescent="0.45">
      <c r="A19" s="83" t="str">
        <f>IFERROR(IF(INDEX(O4:O258,MATCH($D$2,O4:O258,0)+14)=$D$2,INDEX(Q4:Q258,MATCH($D$2,O4:O258,0)+14),""),"")</f>
        <v/>
      </c>
      <c r="B19" s="191" t="str">
        <f>IF(A19&lt;&gt;"",IF(OR(N19="S",N19="M",N19="G",N19="D"),INDEX('Commission Data — Sales'!$C$7:$C$205,A19-7+1),INDEX('Commission Data — Presales'!$C$7:$C$205,A19-7+1)),"")</f>
        <v/>
      </c>
      <c r="C19" s="191" t="str">
        <f>IF(A19&lt;&gt;"",IF(OR(N19="S",N19="M",N19="G",N19="D"),INDEX('Commission Data — Sales'!$D$7:$D$205,A19-7+1),INDEX('Commission Data — Presales'!$D$7:$D$205,A19-7+1)),"")</f>
        <v/>
      </c>
      <c r="D19" s="191" t="str">
        <f>IF(A19&lt;&gt;"",IF(OR(N19="S",N19="M",N19="G",N19="D"),INDEX('Commission Data — Sales'!$E$7:$E$205,A19-7+1),INDEX('Commission Data — Presales'!$E$7:$E$205,A19-7+1)),"")</f>
        <v/>
      </c>
      <c r="E19" s="191" t="str">
        <f>IF(A19&lt;&gt;"",IF(OR(N19="S",N19="M",N19="G",N19="D"),INDEX('Commission Data — Sales'!$G$7:$G$205,A19-7+1),INDEX('Commission Data — Presales'!$G$7:$G$205,A19-7+1)),"")</f>
        <v/>
      </c>
      <c r="F19" s="192" t="str">
        <f>IF(A19&lt;&gt;"",IF(OR(N19="S",N19="M",N19="G",N19="D"),INDEX('Commission Data — Sales'!$H$7:$H$205,A19-7+1),INDEX('Commission Data — Presales'!$H$7:$H$205,A19-7+1)),"")</f>
        <v/>
      </c>
      <c r="G19" s="193" t="str">
        <f>IF(A19&lt;&gt;"",IF(OR(N19="S",N19="M",N19="G",N19="D"),INDEX('Commission Data — Sales'!$N$7:$N$205,A19-7+1),"Presales"),"")</f>
        <v/>
      </c>
      <c r="H19" s="194" t="str">
        <f>IF(A19&lt;&gt;"",IF(OR(N19="S",N19="M",N19="G",N19="D"),INDEX('Commission Data — Sales'!$L$7:$L$205,A19-7+1),INDEX('Commission Data — Presales'!$L$7:$L$205,A19-7+1)),"")</f>
        <v/>
      </c>
      <c r="I19" s="195">
        <f>IF(A19&lt;&gt;"",IF(OR(N19="S",N19="M",N19="G",N19="D"),INDEX('Commission Data — Sales'!$M$7:$M$205,A19-7+1),INDEX('Commission Data — Presales'!$M$7:$M$205,A19-7+1)),0)</f>
        <v>0</v>
      </c>
      <c r="J19" s="196" t="str">
        <f>IF(A19&lt;&gt;"",IF(N19="M",Config!$C$22,IF(N19="G",Config!$C$23,IF(N19="D",Config!$C$24,IF(N19="S",IFERROR(IF(INDEX('Commission Data — Sales'!$O$7:$O$205,A19-7+1)=$D$2,INDEX('Commission Data — Sales'!$Q$7:$Q$205,A19-7+1)*INDEX('Commission Data — Sales'!$P$7:$P$205,A19-7+1),IF(INDEX('Commission Data — Sales'!$S$7:$S$205,A19-7+1)=$D$2,INDEX('Commission Data — Sales'!$U$7:$U$205,A19-7+1)*INDEX('Commission Data — Sales'!$T$7:$T$205,A19-7+1),INDEX('Commission Data — Sales'!$Y$7:$Y$205,A19-7+1)*INDEX('Commission Data — Sales'!$X$7:$X$205,A19-7+1))),0),IFERROR(IF(INDEX('Commission Data — Presales'!$N$7:$N$205,A19-7+1)=$D$2,Config!$C$25*INDEX('Commission Data — Presales'!$O$7:$O$205,A19-7+1),IF(INDEX('Commission Data — Presales'!$Q$7:$Q$205,A19-7+1)=$D$2,Config!$C$25*INDEX('Commission Data — Presales'!$R$7:$R$205,A19-7+1),Config!$C$25*INDEX('Commission Data — Presales'!$U$7:$U$205,A19-7+1))),0))))),"")</f>
        <v/>
      </c>
      <c r="K19" s="197" t="str">
        <f>IF(A19&lt;&gt;"",IF(N19="M",IFERROR(INDEX('Commission Data — Sales'!$AB$7:$AB$205,A19-7+1),0),IF(N19="G",IFERROR(INDEX('Commission Data — Sales'!$AD$7:$AD$205,A19-7+1),0),IF(N19="D",IFERROR(INDEX('Commission Data — Sales'!$AF$7:$AF$205,A19-7+1),0),IF(N19="S",IFERROR(IF(INDEX('Commission Data — Sales'!$O$7:$O$205,A19-7+1)=$D$2,INDEX('Commission Data — Sales'!$R$7:$R$205,A19-7+1),0)+IF(INDEX('Commission Data — Sales'!$S$7:$S$205,A19-7+1)=$D$2,INDEX('Commission Data — Sales'!$V$7:$V$205,A19-7+1),0)+IF(INDEX('Commission Data — Sales'!$W$7:$W$205,A19-7+1)=$D$2,INDEX('Commission Data — Sales'!$Z$7:$Z$205,A19-7+1),0),0),IFERROR(IF(INDEX('Commission Data — Presales'!$N$7:$N$205,A19-7+1)=$D$2,INDEX('Commission Data — Presales'!$P$7:$P$205,A19-7+1),0)+IF(INDEX('Commission Data — Presales'!$Q$7:$Q$205,A19-7+1)=$D$2,INDEX('Commission Data — Presales'!$S$7:$S$205,A19-7+1),0)+IF(INDEX('Commission Data — Presales'!$T$7:$T$205,A19-7+1)=$D$2,INDEX('Commission Data — Presales'!$V$7:$V$205,A19-7+1),0),0))))),"")</f>
        <v/>
      </c>
      <c r="L19" s="155" t="str">
        <f>IF(A19&lt;&gt;"",IF(N19="M",IFERROR(INDEX('Commission Data — Sales'!$AB$7:$AB$205,A19-7+1),0),IF(N19="G",IFERROR(INDEX('Commission Data — Sales'!$AD$7:$AD$205,A19-7+1),0),IF(N19="D",IFERROR(INDEX('Commission Data — Sales'!$AF$7:$AF$205,A19-7+1),0),IF(N19="S",IFERROR(IF(INDEX('Commission Data — Sales'!$O$7:$O$205,A19-7+1)=$D$2,INDEX('Commission Data — Sales'!$AQ$7:$AQ$205,A19-7+1),0)+IF(INDEX('Commission Data — Sales'!$S$7:$S$205,A19-7+1)=$D$2,INDEX('Commission Data — Sales'!$AR$7:$AR$205,A19-7+1),0)+IF(INDEX('Commission Data — Sales'!$W$7:$W$205,A19-7+1)=$D$2,INDEX('Commission Data — Sales'!$AS$7:$AS$205,A19-7+1),0),0),IFERROR(IF(INDEX('Commission Data — Presales'!$N$7:$N$205,A19-7+1)=$D$2,INDEX('Commission Data — Presales'!$P$7:$P$205,A19-7+1),0)+IF(INDEX('Commission Data — Presales'!$Q$7:$Q$205,A19-7+1)=$D$2,INDEX('Commission Data — Presales'!$S$7:$S$205,A19-7+1),0)+IF(INDEX('Commission Data — Presales'!$T$7:$T$205,A19-7+1)=$D$2,INDEX('Commission Data — Presales'!$V$7:$V$205,A19-7+1),0),0))))),"")</f>
        <v/>
      </c>
      <c r="M19" s="198" t="str">
        <f>IF(A19&lt;&gt;"",IF(N19="M","PM — Umbrella Contract | rate: "&amp;TEXT(Config!$C$22,"0.0%"),IF(N19="G","Manager commission (0.7%)",IF(N19="D","Director commission (0.3%)",IF(N19="S",IFERROR(IF(INDEX('Commission Data — Sales'!$N$7:$N$205,A19-7+1)="Umbrella Contract","Umbrella Contract — your rate: "&amp;TEXT(Config!$C$21,"0.0%")&amp;IF(INDEX('Commission Data — Sales'!$AA$7:$AA$205,A19-7+1)&lt;&gt;""," | PM: "&amp;INDEX('Commission Data — Sales'!$AA$7:$AA$205,A19-7+1)&amp;" ("&amp;TEXT(Config!$C$22,"0.0%")&amp;")",""),IF(INDEX('Commission Data — Sales'!$O$7:$O$205,A19-7+1)=$D$2,IF(AND(INDEX('Commission Data — Sales'!$S$7:$S$205,A19-7+1)="",,INDEX('Commission Data — Sales'!$W$7:$W$205,A19-7+1)=""),"Sole PIC (100%)","Shared — your share: "&amp;TEXT(INDEX('Commission Data — Sales'!$P$7:$P$205,A19-7+1),"0%")),IF(INDEX('Commission Data — Sales'!$S$7:$S$205,A19-7+1)=$D$2,"Shared — your share: "&amp;TEXT(INDEX('Commission Data — Sales'!$T$7:$T$205,A19-7+1),"0%"),"Shared — your share: "&amp;TEXT(INDEX('Commission Data — Sales'!$X$7:$X$205,A19-7+1),"0%")))),""),IFERROR(IF(INDEX('Commission Data — Presales'!$N$7:$N$205,A19-7+1)=$D$2,IF(AND(INDEX('Commission Data — Presales'!$Q$7:$Q$205,A19-7+1)="",INDEX('Commission Data — Presales'!$T$7:$T$205,A19-7+1)=""),"Sole Presales (100%)","Shared — your share: "&amp;TEXT(INDEX('Commission Data — Presales'!$O$7:$O$205,A19-7+1),"0%")),IF(INDEX('Commission Data — Presales'!$Q$7:$Q$205,A19-7+1)=$D$2,"Shared — your share: "&amp;TEXT(INDEX('Commission Data — Presales'!$R$7:$R$205,A19-7+1),"0%"),"Shared — your share: "&amp;TEXT(INDEX('Commission Data — Presales'!$U$7:$U$205,A19-7+1),"0%"))),""))))),"")</f>
        <v/>
      </c>
      <c r="N19" t="str">
        <f>IFERROR(IF(INDEX(O4:O258,MATCH($D$2,O4:O258,0)+14)=$D$2,INDEX(P4:P258,MATCH($D$2,O4:O258,0)+14),""),"")</f>
        <v/>
      </c>
      <c r="O19" t="s">
        <v>168</v>
      </c>
      <c r="P19" t="s">
        <v>311</v>
      </c>
      <c r="Q19">
        <v>38</v>
      </c>
      <c r="R19" t="s">
        <v>158</v>
      </c>
    </row>
    <row r="20" spans="1:18" ht="18" customHeight="1" x14ac:dyDescent="0.45">
      <c r="A20" s="83" t="str">
        <f>IFERROR(IF(INDEX(O4:O258,MATCH($D$2,O4:O258,0)+15)=$D$2,INDEX(Q4:Q258,MATCH($D$2,O4:O258,0)+15),""),"")</f>
        <v/>
      </c>
      <c r="B20" s="199" t="str">
        <f>IF(A20&lt;&gt;"",IF(OR(N20="S",N20="M",N20="G",N20="D"),INDEX('Commission Data — Sales'!$C$7:$C$205,A20-7+1),INDEX('Commission Data — Presales'!$C$7:$C$205,A20-7+1)),"")</f>
        <v/>
      </c>
      <c r="C20" s="199" t="str">
        <f>IF(A20&lt;&gt;"",IF(OR(N20="S",N20="M",N20="G",N20="D"),INDEX('Commission Data — Sales'!$D$7:$D$205,A20-7+1),INDEX('Commission Data — Presales'!$D$7:$D$205,A20-7+1)),"")</f>
        <v/>
      </c>
      <c r="D20" s="199" t="str">
        <f>IF(A20&lt;&gt;"",IF(OR(N20="S",N20="M",N20="G",N20="D"),INDEX('Commission Data — Sales'!$E$7:$E$205,A20-7+1),INDEX('Commission Data — Presales'!$E$7:$E$205,A20-7+1)),"")</f>
        <v/>
      </c>
      <c r="E20" s="199" t="str">
        <f>IF(A20&lt;&gt;"",IF(OR(N20="S",N20="M",N20="G",N20="D"),INDEX('Commission Data — Sales'!$G$7:$G$205,A20-7+1),INDEX('Commission Data — Presales'!$G$7:$G$205,A20-7+1)),"")</f>
        <v/>
      </c>
      <c r="F20" s="200" t="str">
        <f>IF(A20&lt;&gt;"",IF(OR(N20="S",N20="M",N20="G",N20="D"),INDEX('Commission Data — Sales'!$H$7:$H$205,A20-7+1),INDEX('Commission Data — Presales'!$H$7:$H$205,A20-7+1)),"")</f>
        <v/>
      </c>
      <c r="G20" s="201" t="str">
        <f>IF(A20&lt;&gt;"",IF(OR(N20="S",N20="M",N20="G",N20="D"),INDEX('Commission Data — Sales'!$N$7:$N$205,A20-7+1),"Presales"),"")</f>
        <v/>
      </c>
      <c r="H20" s="202" t="str">
        <f>IF(A20&lt;&gt;"",IF(OR(N20="S",N20="M",N20="G",N20="D"),INDEX('Commission Data — Sales'!$L$7:$L$205,A20-7+1),INDEX('Commission Data — Presales'!$L$7:$L$205,A20-7+1)),"")</f>
        <v/>
      </c>
      <c r="I20" s="203">
        <f>IF(A20&lt;&gt;"",IF(OR(N20="S",N20="M",N20="G",N20="D"),INDEX('Commission Data — Sales'!$M$7:$M$205,A20-7+1),INDEX('Commission Data — Presales'!$M$7:$M$205,A20-7+1)),0)</f>
        <v>0</v>
      </c>
      <c r="J20" s="204" t="str">
        <f>IF(A20&lt;&gt;"",IF(N20="M",Config!$C$22,IF(N20="G",Config!$C$23,IF(N20="D",Config!$C$24,IF(N20="S",IFERROR(IF(INDEX('Commission Data — Sales'!$O$7:$O$205,A20-7+1)=$D$2,INDEX('Commission Data — Sales'!$Q$7:$Q$205,A20-7+1)*INDEX('Commission Data — Sales'!$P$7:$P$205,A20-7+1),IF(INDEX('Commission Data — Sales'!$S$7:$S$205,A20-7+1)=$D$2,INDEX('Commission Data — Sales'!$U$7:$U$205,A20-7+1)*INDEX('Commission Data — Sales'!$T$7:$T$205,A20-7+1),INDEX('Commission Data — Sales'!$Y$7:$Y$205,A20-7+1)*INDEX('Commission Data — Sales'!$X$7:$X$205,A20-7+1))),0),IFERROR(IF(INDEX('Commission Data — Presales'!$N$7:$N$205,A20-7+1)=$D$2,Config!$C$25*INDEX('Commission Data — Presales'!$O$7:$O$205,A20-7+1),IF(INDEX('Commission Data — Presales'!$Q$7:$Q$205,A20-7+1)=$D$2,Config!$C$25*INDEX('Commission Data — Presales'!$R$7:$R$205,A20-7+1),Config!$C$25*INDEX('Commission Data — Presales'!$U$7:$U$205,A20-7+1))),0))))),"")</f>
        <v/>
      </c>
      <c r="K20" s="205" t="str">
        <f>IF(A20&lt;&gt;"",IF(N20="M",IFERROR(INDEX('Commission Data — Sales'!$AB$7:$AB$205,A20-7+1),0),IF(N20="G",IFERROR(INDEX('Commission Data — Sales'!$AD$7:$AD$205,A20-7+1),0),IF(N20="D",IFERROR(INDEX('Commission Data — Sales'!$AF$7:$AF$205,A20-7+1),0),IF(N20="S",IFERROR(IF(INDEX('Commission Data — Sales'!$O$7:$O$205,A20-7+1)=$D$2,INDEX('Commission Data — Sales'!$R$7:$R$205,A20-7+1),0)+IF(INDEX('Commission Data — Sales'!$S$7:$S$205,A20-7+1)=$D$2,INDEX('Commission Data — Sales'!$V$7:$V$205,A20-7+1),0)+IF(INDEX('Commission Data — Sales'!$W$7:$W$205,A20-7+1)=$D$2,INDEX('Commission Data — Sales'!$Z$7:$Z$205,A20-7+1),0),0),IFERROR(IF(INDEX('Commission Data — Presales'!$N$7:$N$205,A20-7+1)=$D$2,INDEX('Commission Data — Presales'!$P$7:$P$205,A20-7+1),0)+IF(INDEX('Commission Data — Presales'!$Q$7:$Q$205,A20-7+1)=$D$2,INDEX('Commission Data — Presales'!$S$7:$S$205,A20-7+1),0)+IF(INDEX('Commission Data — Presales'!$T$7:$T$205,A20-7+1)=$D$2,INDEX('Commission Data — Presales'!$V$7:$V$205,A20-7+1),0),0))))),"")</f>
        <v/>
      </c>
      <c r="L20" s="163" t="str">
        <f>IF(A20&lt;&gt;"",IF(N20="M",IFERROR(INDEX('Commission Data — Sales'!$AB$7:$AB$205,A20-7+1),0),IF(N20="G",IFERROR(INDEX('Commission Data — Sales'!$AD$7:$AD$205,A20-7+1),0),IF(N20="D",IFERROR(INDEX('Commission Data — Sales'!$AF$7:$AF$205,A20-7+1),0),IF(N20="S",IFERROR(IF(INDEX('Commission Data — Sales'!$O$7:$O$205,A20-7+1)=$D$2,INDEX('Commission Data — Sales'!$AQ$7:$AQ$205,A20-7+1),0)+IF(INDEX('Commission Data — Sales'!$S$7:$S$205,A20-7+1)=$D$2,INDEX('Commission Data — Sales'!$AR$7:$AR$205,A20-7+1),0)+IF(INDEX('Commission Data — Sales'!$W$7:$W$205,A20-7+1)=$D$2,INDEX('Commission Data — Sales'!$AS$7:$AS$205,A20-7+1),0),0),IFERROR(IF(INDEX('Commission Data — Presales'!$N$7:$N$205,A20-7+1)=$D$2,INDEX('Commission Data — Presales'!$P$7:$P$205,A20-7+1),0)+IF(INDEX('Commission Data — Presales'!$Q$7:$Q$205,A20-7+1)=$D$2,INDEX('Commission Data — Presales'!$S$7:$S$205,A20-7+1),0)+IF(INDEX('Commission Data — Presales'!$T$7:$T$205,A20-7+1)=$D$2,INDEX('Commission Data — Presales'!$V$7:$V$205,A20-7+1),0),0))))),"")</f>
        <v/>
      </c>
      <c r="M20" s="206" t="str">
        <f>IF(A20&lt;&gt;"",IF(N20="M","PM — Umbrella Contract | rate: "&amp;TEXT(Config!$C$22,"0.0%"),IF(N20="G","Manager commission (0.7%)",IF(N20="D","Director commission (0.3%)",IF(N20="S",IFERROR(IF(INDEX('Commission Data — Sales'!$N$7:$N$205,A20-7+1)="Umbrella Contract","Umbrella Contract — your rate: "&amp;TEXT(Config!$C$21,"0.0%")&amp;IF(INDEX('Commission Data — Sales'!$AA$7:$AA$205,A20-7+1)&lt;&gt;""," | PM: "&amp;INDEX('Commission Data — Sales'!$AA$7:$AA$205,A20-7+1)&amp;" ("&amp;TEXT(Config!$C$22,"0.0%")&amp;")",""),IF(INDEX('Commission Data — Sales'!$O$7:$O$205,A20-7+1)=$D$2,IF(AND(INDEX('Commission Data — Sales'!$S$7:$S$205,A20-7+1)="",,INDEX('Commission Data — Sales'!$W$7:$W$205,A20-7+1)=""),"Sole PIC (100%)","Shared — your share: "&amp;TEXT(INDEX('Commission Data — Sales'!$P$7:$P$205,A20-7+1),"0%")),IF(INDEX('Commission Data — Sales'!$S$7:$S$205,A20-7+1)=$D$2,"Shared — your share: "&amp;TEXT(INDEX('Commission Data — Sales'!$T$7:$T$205,A20-7+1),"0%"),"Shared — your share: "&amp;TEXT(INDEX('Commission Data — Sales'!$X$7:$X$205,A20-7+1),"0%")))),""),IFERROR(IF(INDEX('Commission Data — Presales'!$N$7:$N$205,A20-7+1)=$D$2,IF(AND(INDEX('Commission Data — Presales'!$Q$7:$Q$205,A20-7+1)="",INDEX('Commission Data — Presales'!$T$7:$T$205,A20-7+1)=""),"Sole Presales (100%)","Shared — your share: "&amp;TEXT(INDEX('Commission Data — Presales'!$O$7:$O$205,A20-7+1),"0%")),IF(INDEX('Commission Data — Presales'!$Q$7:$Q$205,A20-7+1)=$D$2,"Shared — your share: "&amp;TEXT(INDEX('Commission Data — Presales'!$R$7:$R$205,A20-7+1),"0%"),"Shared — your share: "&amp;TEXT(INDEX('Commission Data — Presales'!$U$7:$U$205,A20-7+1),"0%"))),""))))),"")</f>
        <v/>
      </c>
      <c r="N20" t="str">
        <f>IFERROR(IF(INDEX(O4:O258,MATCH($D$2,O4:O258,0)+15)=$D$2,INDEX(P4:P258,MATCH($D$2,O4:O258,0)+15),""),"")</f>
        <v/>
      </c>
      <c r="O20" t="s">
        <v>168</v>
      </c>
      <c r="P20" t="s">
        <v>311</v>
      </c>
      <c r="Q20">
        <v>39</v>
      </c>
      <c r="R20" t="s">
        <v>148</v>
      </c>
    </row>
    <row r="21" spans="1:18" ht="18" customHeight="1" x14ac:dyDescent="0.45">
      <c r="A21" s="83" t="str">
        <f>IFERROR(IF(INDEX(O4:O258,MATCH($D$2,O4:O258,0)+16)=$D$2,INDEX(Q4:Q258,MATCH($D$2,O4:O258,0)+16),""),"")</f>
        <v/>
      </c>
      <c r="B21" s="191" t="str">
        <f>IF(A21&lt;&gt;"",IF(OR(N21="S",N21="M",N21="G",N21="D"),INDEX('Commission Data — Sales'!$C$7:$C$205,A21-7+1),INDEX('Commission Data — Presales'!$C$7:$C$205,A21-7+1)),"")</f>
        <v/>
      </c>
      <c r="C21" s="191" t="str">
        <f>IF(A21&lt;&gt;"",IF(OR(N21="S",N21="M",N21="G",N21="D"),INDEX('Commission Data — Sales'!$D$7:$D$205,A21-7+1),INDEX('Commission Data — Presales'!$D$7:$D$205,A21-7+1)),"")</f>
        <v/>
      </c>
      <c r="D21" s="191" t="str">
        <f>IF(A21&lt;&gt;"",IF(OR(N21="S",N21="M",N21="G",N21="D"),INDEX('Commission Data — Sales'!$E$7:$E$205,A21-7+1),INDEX('Commission Data — Presales'!$E$7:$E$205,A21-7+1)),"")</f>
        <v/>
      </c>
      <c r="E21" s="191" t="str">
        <f>IF(A21&lt;&gt;"",IF(OR(N21="S",N21="M",N21="G",N21="D"),INDEX('Commission Data — Sales'!$G$7:$G$205,A21-7+1),INDEX('Commission Data — Presales'!$G$7:$G$205,A21-7+1)),"")</f>
        <v/>
      </c>
      <c r="F21" s="192" t="str">
        <f>IF(A21&lt;&gt;"",IF(OR(N21="S",N21="M",N21="G",N21="D"),INDEX('Commission Data — Sales'!$H$7:$H$205,A21-7+1),INDEX('Commission Data — Presales'!$H$7:$H$205,A21-7+1)),"")</f>
        <v/>
      </c>
      <c r="G21" s="193" t="str">
        <f>IF(A21&lt;&gt;"",IF(OR(N21="S",N21="M",N21="G",N21="D"),INDEX('Commission Data — Sales'!$N$7:$N$205,A21-7+1),"Presales"),"")</f>
        <v/>
      </c>
      <c r="H21" s="194" t="str">
        <f>IF(A21&lt;&gt;"",IF(OR(N21="S",N21="M",N21="G",N21="D"),INDEX('Commission Data — Sales'!$L$7:$L$205,A21-7+1),INDEX('Commission Data — Presales'!$L$7:$L$205,A21-7+1)),"")</f>
        <v/>
      </c>
      <c r="I21" s="195">
        <f>IF(A21&lt;&gt;"",IF(OR(N21="S",N21="M",N21="G",N21="D"),INDEX('Commission Data — Sales'!$M$7:$M$205,A21-7+1),INDEX('Commission Data — Presales'!$M$7:$M$205,A21-7+1)),0)</f>
        <v>0</v>
      </c>
      <c r="J21" s="196" t="str">
        <f>IF(A21&lt;&gt;"",IF(N21="M",Config!$C$22,IF(N21="G",Config!$C$23,IF(N21="D",Config!$C$24,IF(N21="S",IFERROR(IF(INDEX('Commission Data — Sales'!$O$7:$O$205,A21-7+1)=$D$2,INDEX('Commission Data — Sales'!$Q$7:$Q$205,A21-7+1)*INDEX('Commission Data — Sales'!$P$7:$P$205,A21-7+1),IF(INDEX('Commission Data — Sales'!$S$7:$S$205,A21-7+1)=$D$2,INDEX('Commission Data — Sales'!$U$7:$U$205,A21-7+1)*INDEX('Commission Data — Sales'!$T$7:$T$205,A21-7+1),INDEX('Commission Data — Sales'!$Y$7:$Y$205,A21-7+1)*INDEX('Commission Data — Sales'!$X$7:$X$205,A21-7+1))),0),IFERROR(IF(INDEX('Commission Data — Presales'!$N$7:$N$205,A21-7+1)=$D$2,Config!$C$25*INDEX('Commission Data — Presales'!$O$7:$O$205,A21-7+1),IF(INDEX('Commission Data — Presales'!$Q$7:$Q$205,A21-7+1)=$D$2,Config!$C$25*INDEX('Commission Data — Presales'!$R$7:$R$205,A21-7+1),Config!$C$25*INDEX('Commission Data — Presales'!$U$7:$U$205,A21-7+1))),0))))),"")</f>
        <v/>
      </c>
      <c r="K21" s="197" t="str">
        <f>IF(A21&lt;&gt;"",IF(N21="M",IFERROR(INDEX('Commission Data — Sales'!$AB$7:$AB$205,A21-7+1),0),IF(N21="G",IFERROR(INDEX('Commission Data — Sales'!$AD$7:$AD$205,A21-7+1),0),IF(N21="D",IFERROR(INDEX('Commission Data — Sales'!$AF$7:$AF$205,A21-7+1),0),IF(N21="S",IFERROR(IF(INDEX('Commission Data — Sales'!$O$7:$O$205,A21-7+1)=$D$2,INDEX('Commission Data — Sales'!$R$7:$R$205,A21-7+1),0)+IF(INDEX('Commission Data — Sales'!$S$7:$S$205,A21-7+1)=$D$2,INDEX('Commission Data — Sales'!$V$7:$V$205,A21-7+1),0)+IF(INDEX('Commission Data — Sales'!$W$7:$W$205,A21-7+1)=$D$2,INDEX('Commission Data — Sales'!$Z$7:$Z$205,A21-7+1),0),0),IFERROR(IF(INDEX('Commission Data — Presales'!$N$7:$N$205,A21-7+1)=$D$2,INDEX('Commission Data — Presales'!$P$7:$P$205,A21-7+1),0)+IF(INDEX('Commission Data — Presales'!$Q$7:$Q$205,A21-7+1)=$D$2,INDEX('Commission Data — Presales'!$S$7:$S$205,A21-7+1),0)+IF(INDEX('Commission Data — Presales'!$T$7:$T$205,A21-7+1)=$D$2,INDEX('Commission Data — Presales'!$V$7:$V$205,A21-7+1),0),0))))),"")</f>
        <v/>
      </c>
      <c r="L21" s="155" t="str">
        <f>IF(A21&lt;&gt;"",IF(N21="M",IFERROR(INDEX('Commission Data — Sales'!$AB$7:$AB$205,A21-7+1),0),IF(N21="G",IFERROR(INDEX('Commission Data — Sales'!$AD$7:$AD$205,A21-7+1),0),IF(N21="D",IFERROR(INDEX('Commission Data — Sales'!$AF$7:$AF$205,A21-7+1),0),IF(N21="S",IFERROR(IF(INDEX('Commission Data — Sales'!$O$7:$O$205,A21-7+1)=$D$2,INDEX('Commission Data — Sales'!$AQ$7:$AQ$205,A21-7+1),0)+IF(INDEX('Commission Data — Sales'!$S$7:$S$205,A21-7+1)=$D$2,INDEX('Commission Data — Sales'!$AR$7:$AR$205,A21-7+1),0)+IF(INDEX('Commission Data — Sales'!$W$7:$W$205,A21-7+1)=$D$2,INDEX('Commission Data — Sales'!$AS$7:$AS$205,A21-7+1),0),0),IFERROR(IF(INDEX('Commission Data — Presales'!$N$7:$N$205,A21-7+1)=$D$2,INDEX('Commission Data — Presales'!$P$7:$P$205,A21-7+1),0)+IF(INDEX('Commission Data — Presales'!$Q$7:$Q$205,A21-7+1)=$D$2,INDEX('Commission Data — Presales'!$S$7:$S$205,A21-7+1),0)+IF(INDEX('Commission Data — Presales'!$T$7:$T$205,A21-7+1)=$D$2,INDEX('Commission Data — Presales'!$V$7:$V$205,A21-7+1),0),0))))),"")</f>
        <v/>
      </c>
      <c r="M21" s="198" t="str">
        <f>IF(A21&lt;&gt;"",IF(N21="M","PM — Umbrella Contract | rate: "&amp;TEXT(Config!$C$22,"0.0%"),IF(N21="G","Manager commission (0.7%)",IF(N21="D","Director commission (0.3%)",IF(N21="S",IFERROR(IF(INDEX('Commission Data — Sales'!$N$7:$N$205,A21-7+1)="Umbrella Contract","Umbrella Contract — your rate: "&amp;TEXT(Config!$C$21,"0.0%")&amp;IF(INDEX('Commission Data — Sales'!$AA$7:$AA$205,A21-7+1)&lt;&gt;""," | PM: "&amp;INDEX('Commission Data — Sales'!$AA$7:$AA$205,A21-7+1)&amp;" ("&amp;TEXT(Config!$C$22,"0.0%")&amp;")",""),IF(INDEX('Commission Data — Sales'!$O$7:$O$205,A21-7+1)=$D$2,IF(AND(INDEX('Commission Data — Sales'!$S$7:$S$205,A21-7+1)="",,INDEX('Commission Data — Sales'!$W$7:$W$205,A21-7+1)=""),"Sole PIC (100%)","Shared — your share: "&amp;TEXT(INDEX('Commission Data — Sales'!$P$7:$P$205,A21-7+1),"0%")),IF(INDEX('Commission Data — Sales'!$S$7:$S$205,A21-7+1)=$D$2,"Shared — your share: "&amp;TEXT(INDEX('Commission Data — Sales'!$T$7:$T$205,A21-7+1),"0%"),"Shared — your share: "&amp;TEXT(INDEX('Commission Data — Sales'!$X$7:$X$205,A21-7+1),"0%")))),""),IFERROR(IF(INDEX('Commission Data — Presales'!$N$7:$N$205,A21-7+1)=$D$2,IF(AND(INDEX('Commission Data — Presales'!$Q$7:$Q$205,A21-7+1)="",INDEX('Commission Data — Presales'!$T$7:$T$205,A21-7+1)=""),"Sole Presales (100%)","Shared — your share: "&amp;TEXT(INDEX('Commission Data — Presales'!$O$7:$O$205,A21-7+1),"0%")),IF(INDEX('Commission Data — Presales'!$Q$7:$Q$205,A21-7+1)=$D$2,"Shared — your share: "&amp;TEXT(INDEX('Commission Data — Presales'!$R$7:$R$205,A21-7+1),"0%"),"Shared — your share: "&amp;TEXT(INDEX('Commission Data — Presales'!$U$7:$U$205,A21-7+1),"0%"))),""))))),"")</f>
        <v/>
      </c>
      <c r="N21" t="str">
        <f>IFERROR(IF(INDEX(O4:O258,MATCH($D$2,O4:O258,0)+16)=$D$2,INDEX(P4:P258,MATCH($D$2,O4:O258,0)+16),""),"")</f>
        <v/>
      </c>
      <c r="O21" t="s">
        <v>168</v>
      </c>
      <c r="P21" t="s">
        <v>311</v>
      </c>
      <c r="Q21">
        <v>40</v>
      </c>
      <c r="R21" t="s">
        <v>155</v>
      </c>
    </row>
    <row r="22" spans="1:18" ht="18" customHeight="1" x14ac:dyDescent="0.45">
      <c r="A22" s="83" t="str">
        <f>IFERROR(IF(INDEX(O4:O258,MATCH($D$2,O4:O258,0)+17)=$D$2,INDEX(Q4:Q258,MATCH($D$2,O4:O258,0)+17),""),"")</f>
        <v/>
      </c>
      <c r="B22" s="199" t="str">
        <f>IF(A22&lt;&gt;"",IF(OR(N22="S",N22="M",N22="G",N22="D"),INDEX('Commission Data — Sales'!$C$7:$C$205,A22-7+1),INDEX('Commission Data — Presales'!$C$7:$C$205,A22-7+1)),"")</f>
        <v/>
      </c>
      <c r="C22" s="199" t="str">
        <f>IF(A22&lt;&gt;"",IF(OR(N22="S",N22="M",N22="G",N22="D"),INDEX('Commission Data — Sales'!$D$7:$D$205,A22-7+1),INDEX('Commission Data — Presales'!$D$7:$D$205,A22-7+1)),"")</f>
        <v/>
      </c>
      <c r="D22" s="199" t="str">
        <f>IF(A22&lt;&gt;"",IF(OR(N22="S",N22="M",N22="G",N22="D"),INDEX('Commission Data — Sales'!$E$7:$E$205,A22-7+1),INDEX('Commission Data — Presales'!$E$7:$E$205,A22-7+1)),"")</f>
        <v/>
      </c>
      <c r="E22" s="199" t="str">
        <f>IF(A22&lt;&gt;"",IF(OR(N22="S",N22="M",N22="G",N22="D"),INDEX('Commission Data — Sales'!$G$7:$G$205,A22-7+1),INDEX('Commission Data — Presales'!$G$7:$G$205,A22-7+1)),"")</f>
        <v/>
      </c>
      <c r="F22" s="200" t="str">
        <f>IF(A22&lt;&gt;"",IF(OR(N22="S",N22="M",N22="G",N22="D"),INDEX('Commission Data — Sales'!$H$7:$H$205,A22-7+1),INDEX('Commission Data — Presales'!$H$7:$H$205,A22-7+1)),"")</f>
        <v/>
      </c>
      <c r="G22" s="201" t="str">
        <f>IF(A22&lt;&gt;"",IF(OR(N22="S",N22="M",N22="G",N22="D"),INDEX('Commission Data — Sales'!$N$7:$N$205,A22-7+1),"Presales"),"")</f>
        <v/>
      </c>
      <c r="H22" s="202" t="str">
        <f>IF(A22&lt;&gt;"",IF(OR(N22="S",N22="M",N22="G",N22="D"),INDEX('Commission Data — Sales'!$L$7:$L$205,A22-7+1),INDEX('Commission Data — Presales'!$L$7:$L$205,A22-7+1)),"")</f>
        <v/>
      </c>
      <c r="I22" s="203">
        <f>IF(A22&lt;&gt;"",IF(OR(N22="S",N22="M",N22="G",N22="D"),INDEX('Commission Data — Sales'!$M$7:$M$205,A22-7+1),INDEX('Commission Data — Presales'!$M$7:$M$205,A22-7+1)),0)</f>
        <v>0</v>
      </c>
      <c r="J22" s="204" t="str">
        <f>IF(A22&lt;&gt;"",IF(N22="M",Config!$C$22,IF(N22="G",Config!$C$23,IF(N22="D",Config!$C$24,IF(N22="S",IFERROR(IF(INDEX('Commission Data — Sales'!$O$7:$O$205,A22-7+1)=$D$2,INDEX('Commission Data — Sales'!$Q$7:$Q$205,A22-7+1)*INDEX('Commission Data — Sales'!$P$7:$P$205,A22-7+1),IF(INDEX('Commission Data — Sales'!$S$7:$S$205,A22-7+1)=$D$2,INDEX('Commission Data — Sales'!$U$7:$U$205,A22-7+1)*INDEX('Commission Data — Sales'!$T$7:$T$205,A22-7+1),INDEX('Commission Data — Sales'!$Y$7:$Y$205,A22-7+1)*INDEX('Commission Data — Sales'!$X$7:$X$205,A22-7+1))),0),IFERROR(IF(INDEX('Commission Data — Presales'!$N$7:$N$205,A22-7+1)=$D$2,Config!$C$25*INDEX('Commission Data — Presales'!$O$7:$O$205,A22-7+1),IF(INDEX('Commission Data — Presales'!$Q$7:$Q$205,A22-7+1)=$D$2,Config!$C$25*INDEX('Commission Data — Presales'!$R$7:$R$205,A22-7+1),Config!$C$25*INDEX('Commission Data — Presales'!$U$7:$U$205,A22-7+1))),0))))),"")</f>
        <v/>
      </c>
      <c r="K22" s="205" t="str">
        <f>IF(A22&lt;&gt;"",IF(N22="M",IFERROR(INDEX('Commission Data — Sales'!$AB$7:$AB$205,A22-7+1),0),IF(N22="G",IFERROR(INDEX('Commission Data — Sales'!$AD$7:$AD$205,A22-7+1),0),IF(N22="D",IFERROR(INDEX('Commission Data — Sales'!$AF$7:$AF$205,A22-7+1),0),IF(N22="S",IFERROR(IF(INDEX('Commission Data — Sales'!$O$7:$O$205,A22-7+1)=$D$2,INDEX('Commission Data — Sales'!$R$7:$R$205,A22-7+1),0)+IF(INDEX('Commission Data — Sales'!$S$7:$S$205,A22-7+1)=$D$2,INDEX('Commission Data — Sales'!$V$7:$V$205,A22-7+1),0)+IF(INDEX('Commission Data — Sales'!$W$7:$W$205,A22-7+1)=$D$2,INDEX('Commission Data — Sales'!$Z$7:$Z$205,A22-7+1),0),0),IFERROR(IF(INDEX('Commission Data — Presales'!$N$7:$N$205,A22-7+1)=$D$2,INDEX('Commission Data — Presales'!$P$7:$P$205,A22-7+1),0)+IF(INDEX('Commission Data — Presales'!$Q$7:$Q$205,A22-7+1)=$D$2,INDEX('Commission Data — Presales'!$S$7:$S$205,A22-7+1),0)+IF(INDEX('Commission Data — Presales'!$T$7:$T$205,A22-7+1)=$D$2,INDEX('Commission Data — Presales'!$V$7:$V$205,A22-7+1),0),0))))),"")</f>
        <v/>
      </c>
      <c r="L22" s="163" t="str">
        <f>IF(A22&lt;&gt;"",IF(N22="M",IFERROR(INDEX('Commission Data — Sales'!$AB$7:$AB$205,A22-7+1),0),IF(N22="G",IFERROR(INDEX('Commission Data — Sales'!$AD$7:$AD$205,A22-7+1),0),IF(N22="D",IFERROR(INDEX('Commission Data — Sales'!$AF$7:$AF$205,A22-7+1),0),IF(N22="S",IFERROR(IF(INDEX('Commission Data — Sales'!$O$7:$O$205,A22-7+1)=$D$2,INDEX('Commission Data — Sales'!$AQ$7:$AQ$205,A22-7+1),0)+IF(INDEX('Commission Data — Sales'!$S$7:$S$205,A22-7+1)=$D$2,INDEX('Commission Data — Sales'!$AR$7:$AR$205,A22-7+1),0)+IF(INDEX('Commission Data — Sales'!$W$7:$W$205,A22-7+1)=$D$2,INDEX('Commission Data — Sales'!$AS$7:$AS$205,A22-7+1),0),0),IFERROR(IF(INDEX('Commission Data — Presales'!$N$7:$N$205,A22-7+1)=$D$2,INDEX('Commission Data — Presales'!$P$7:$P$205,A22-7+1),0)+IF(INDEX('Commission Data — Presales'!$Q$7:$Q$205,A22-7+1)=$D$2,INDEX('Commission Data — Presales'!$S$7:$S$205,A22-7+1),0)+IF(INDEX('Commission Data — Presales'!$T$7:$T$205,A22-7+1)=$D$2,INDEX('Commission Data — Presales'!$V$7:$V$205,A22-7+1),0),0))))),"")</f>
        <v/>
      </c>
      <c r="M22" s="206" t="str">
        <f>IF(A22&lt;&gt;"",IF(N22="M","PM — Umbrella Contract | rate: "&amp;TEXT(Config!$C$22,"0.0%"),IF(N22="G","Manager commission (0.7%)",IF(N22="D","Director commission (0.3%)",IF(N22="S",IFERROR(IF(INDEX('Commission Data — Sales'!$N$7:$N$205,A22-7+1)="Umbrella Contract","Umbrella Contract — your rate: "&amp;TEXT(Config!$C$21,"0.0%")&amp;IF(INDEX('Commission Data — Sales'!$AA$7:$AA$205,A22-7+1)&lt;&gt;""," | PM: "&amp;INDEX('Commission Data — Sales'!$AA$7:$AA$205,A22-7+1)&amp;" ("&amp;TEXT(Config!$C$22,"0.0%")&amp;")",""),IF(INDEX('Commission Data — Sales'!$O$7:$O$205,A22-7+1)=$D$2,IF(AND(INDEX('Commission Data — Sales'!$S$7:$S$205,A22-7+1)="",,INDEX('Commission Data — Sales'!$W$7:$W$205,A22-7+1)=""),"Sole PIC (100%)","Shared — your share: "&amp;TEXT(INDEX('Commission Data — Sales'!$P$7:$P$205,A22-7+1),"0%")),IF(INDEX('Commission Data — Sales'!$S$7:$S$205,A22-7+1)=$D$2,"Shared — your share: "&amp;TEXT(INDEX('Commission Data — Sales'!$T$7:$T$205,A22-7+1),"0%"),"Shared — your share: "&amp;TEXT(INDEX('Commission Data — Sales'!$X$7:$X$205,A22-7+1),"0%")))),""),IFERROR(IF(INDEX('Commission Data — Presales'!$N$7:$N$205,A22-7+1)=$D$2,IF(AND(INDEX('Commission Data — Presales'!$Q$7:$Q$205,A22-7+1)="",INDEX('Commission Data — Presales'!$T$7:$T$205,A22-7+1)=""),"Sole Presales (100%)","Shared — your share: "&amp;TEXT(INDEX('Commission Data — Presales'!$O$7:$O$205,A22-7+1),"0%")),IF(INDEX('Commission Data — Presales'!$Q$7:$Q$205,A22-7+1)=$D$2,"Shared — your share: "&amp;TEXT(INDEX('Commission Data — Presales'!$R$7:$R$205,A22-7+1),"0%"),"Shared — your share: "&amp;TEXT(INDEX('Commission Data — Presales'!$U$7:$U$205,A22-7+1),"0%"))),""))))),"")</f>
        <v/>
      </c>
      <c r="N22" t="str">
        <f>IFERROR(IF(INDEX(O4:O258,MATCH($D$2,O4:O258,0)+17)=$D$2,INDEX(P4:P258,MATCH($D$2,O4:O258,0)+17),""),"")</f>
        <v/>
      </c>
      <c r="O22" t="s">
        <v>168</v>
      </c>
      <c r="P22" t="s">
        <v>311</v>
      </c>
      <c r="Q22">
        <v>41</v>
      </c>
      <c r="R22" t="s">
        <v>144</v>
      </c>
    </row>
    <row r="23" spans="1:18" ht="18" customHeight="1" x14ac:dyDescent="0.45">
      <c r="A23" s="83" t="str">
        <f>IFERROR(IF(INDEX(O4:O258,MATCH($D$2,O4:O258,0)+18)=$D$2,INDEX(Q4:Q258,MATCH($D$2,O4:O258,0)+18),""),"")</f>
        <v/>
      </c>
      <c r="B23" s="191" t="str">
        <f>IF(A23&lt;&gt;"",IF(OR(N23="S",N23="M",N23="G",N23="D"),INDEX('Commission Data — Sales'!$C$7:$C$205,A23-7+1),INDEX('Commission Data — Presales'!$C$7:$C$205,A23-7+1)),"")</f>
        <v/>
      </c>
      <c r="C23" s="191" t="str">
        <f>IF(A23&lt;&gt;"",IF(OR(N23="S",N23="M",N23="G",N23="D"),INDEX('Commission Data — Sales'!$D$7:$D$205,A23-7+1),INDEX('Commission Data — Presales'!$D$7:$D$205,A23-7+1)),"")</f>
        <v/>
      </c>
      <c r="D23" s="191" t="str">
        <f>IF(A23&lt;&gt;"",IF(OR(N23="S",N23="M",N23="G",N23="D"),INDEX('Commission Data — Sales'!$E$7:$E$205,A23-7+1),INDEX('Commission Data — Presales'!$E$7:$E$205,A23-7+1)),"")</f>
        <v/>
      </c>
      <c r="E23" s="191" t="str">
        <f>IF(A23&lt;&gt;"",IF(OR(N23="S",N23="M",N23="G",N23="D"),INDEX('Commission Data — Sales'!$G$7:$G$205,A23-7+1),INDEX('Commission Data — Presales'!$G$7:$G$205,A23-7+1)),"")</f>
        <v/>
      </c>
      <c r="F23" s="192" t="str">
        <f>IF(A23&lt;&gt;"",IF(OR(N23="S",N23="M",N23="G",N23="D"),INDEX('Commission Data — Sales'!$H$7:$H$205,A23-7+1),INDEX('Commission Data — Presales'!$H$7:$H$205,A23-7+1)),"")</f>
        <v/>
      </c>
      <c r="G23" s="193" t="str">
        <f>IF(A23&lt;&gt;"",IF(OR(N23="S",N23="M",N23="G",N23="D"),INDEX('Commission Data — Sales'!$N$7:$N$205,A23-7+1),"Presales"),"")</f>
        <v/>
      </c>
      <c r="H23" s="194" t="str">
        <f>IF(A23&lt;&gt;"",IF(OR(N23="S",N23="M",N23="G",N23="D"),INDEX('Commission Data — Sales'!$L$7:$L$205,A23-7+1),INDEX('Commission Data — Presales'!$L$7:$L$205,A23-7+1)),"")</f>
        <v/>
      </c>
      <c r="I23" s="195">
        <f>IF(A23&lt;&gt;"",IF(OR(N23="S",N23="M",N23="G",N23="D"),INDEX('Commission Data — Sales'!$M$7:$M$205,A23-7+1),INDEX('Commission Data — Presales'!$M$7:$M$205,A23-7+1)),0)</f>
        <v>0</v>
      </c>
      <c r="J23" s="196" t="str">
        <f>IF(A23&lt;&gt;"",IF(N23="M",Config!$C$22,IF(N23="G",Config!$C$23,IF(N23="D",Config!$C$24,IF(N23="S",IFERROR(IF(INDEX('Commission Data — Sales'!$O$7:$O$205,A23-7+1)=$D$2,INDEX('Commission Data — Sales'!$Q$7:$Q$205,A23-7+1)*INDEX('Commission Data — Sales'!$P$7:$P$205,A23-7+1),IF(INDEX('Commission Data — Sales'!$S$7:$S$205,A23-7+1)=$D$2,INDEX('Commission Data — Sales'!$U$7:$U$205,A23-7+1)*INDEX('Commission Data — Sales'!$T$7:$T$205,A23-7+1),INDEX('Commission Data — Sales'!$Y$7:$Y$205,A23-7+1)*INDEX('Commission Data — Sales'!$X$7:$X$205,A23-7+1))),0),IFERROR(IF(INDEX('Commission Data — Presales'!$N$7:$N$205,A23-7+1)=$D$2,Config!$C$25*INDEX('Commission Data — Presales'!$O$7:$O$205,A23-7+1),IF(INDEX('Commission Data — Presales'!$Q$7:$Q$205,A23-7+1)=$D$2,Config!$C$25*INDEX('Commission Data — Presales'!$R$7:$R$205,A23-7+1),Config!$C$25*INDEX('Commission Data — Presales'!$U$7:$U$205,A23-7+1))),0))))),"")</f>
        <v/>
      </c>
      <c r="K23" s="197" t="str">
        <f>IF(A23&lt;&gt;"",IF(N23="M",IFERROR(INDEX('Commission Data — Sales'!$AB$7:$AB$205,A23-7+1),0),IF(N23="G",IFERROR(INDEX('Commission Data — Sales'!$AD$7:$AD$205,A23-7+1),0),IF(N23="D",IFERROR(INDEX('Commission Data — Sales'!$AF$7:$AF$205,A23-7+1),0),IF(N23="S",IFERROR(IF(INDEX('Commission Data — Sales'!$O$7:$O$205,A23-7+1)=$D$2,INDEX('Commission Data — Sales'!$R$7:$R$205,A23-7+1),0)+IF(INDEX('Commission Data — Sales'!$S$7:$S$205,A23-7+1)=$D$2,INDEX('Commission Data — Sales'!$V$7:$V$205,A23-7+1),0)+IF(INDEX('Commission Data — Sales'!$W$7:$W$205,A23-7+1)=$D$2,INDEX('Commission Data — Sales'!$Z$7:$Z$205,A23-7+1),0),0),IFERROR(IF(INDEX('Commission Data — Presales'!$N$7:$N$205,A23-7+1)=$D$2,INDEX('Commission Data — Presales'!$P$7:$P$205,A23-7+1),0)+IF(INDEX('Commission Data — Presales'!$Q$7:$Q$205,A23-7+1)=$D$2,INDEX('Commission Data — Presales'!$S$7:$S$205,A23-7+1),0)+IF(INDEX('Commission Data — Presales'!$T$7:$T$205,A23-7+1)=$D$2,INDEX('Commission Data — Presales'!$V$7:$V$205,A23-7+1),0),0))))),"")</f>
        <v/>
      </c>
      <c r="L23" s="155" t="str">
        <f>IF(A23&lt;&gt;"",IF(N23="M",IFERROR(INDEX('Commission Data — Sales'!$AB$7:$AB$205,A23-7+1),0),IF(N23="G",IFERROR(INDEX('Commission Data — Sales'!$AD$7:$AD$205,A23-7+1),0),IF(N23="D",IFERROR(INDEX('Commission Data — Sales'!$AF$7:$AF$205,A23-7+1),0),IF(N23="S",IFERROR(IF(INDEX('Commission Data — Sales'!$O$7:$O$205,A23-7+1)=$D$2,INDEX('Commission Data — Sales'!$AQ$7:$AQ$205,A23-7+1),0)+IF(INDEX('Commission Data — Sales'!$S$7:$S$205,A23-7+1)=$D$2,INDEX('Commission Data — Sales'!$AR$7:$AR$205,A23-7+1),0)+IF(INDEX('Commission Data — Sales'!$W$7:$W$205,A23-7+1)=$D$2,INDEX('Commission Data — Sales'!$AS$7:$AS$205,A23-7+1),0),0),IFERROR(IF(INDEX('Commission Data — Presales'!$N$7:$N$205,A23-7+1)=$D$2,INDEX('Commission Data — Presales'!$P$7:$P$205,A23-7+1),0)+IF(INDEX('Commission Data — Presales'!$Q$7:$Q$205,A23-7+1)=$D$2,INDEX('Commission Data — Presales'!$S$7:$S$205,A23-7+1),0)+IF(INDEX('Commission Data — Presales'!$T$7:$T$205,A23-7+1)=$D$2,INDEX('Commission Data — Presales'!$V$7:$V$205,A23-7+1),0),0))))),"")</f>
        <v/>
      </c>
      <c r="M23" s="198" t="str">
        <f>IF(A23&lt;&gt;"",IF(N23="M","PM — Umbrella Contract | rate: "&amp;TEXT(Config!$C$22,"0.0%"),IF(N23="G","Manager commission (0.7%)",IF(N23="D","Director commission (0.3%)",IF(N23="S",IFERROR(IF(INDEX('Commission Data — Sales'!$N$7:$N$205,A23-7+1)="Umbrella Contract","Umbrella Contract — your rate: "&amp;TEXT(Config!$C$21,"0.0%")&amp;IF(INDEX('Commission Data — Sales'!$AA$7:$AA$205,A23-7+1)&lt;&gt;""," | PM: "&amp;INDEX('Commission Data — Sales'!$AA$7:$AA$205,A23-7+1)&amp;" ("&amp;TEXT(Config!$C$22,"0.0%")&amp;")",""),IF(INDEX('Commission Data — Sales'!$O$7:$O$205,A23-7+1)=$D$2,IF(AND(INDEX('Commission Data — Sales'!$S$7:$S$205,A23-7+1)="",,INDEX('Commission Data — Sales'!$W$7:$W$205,A23-7+1)=""),"Sole PIC (100%)","Shared — your share: "&amp;TEXT(INDEX('Commission Data — Sales'!$P$7:$P$205,A23-7+1),"0%")),IF(INDEX('Commission Data — Sales'!$S$7:$S$205,A23-7+1)=$D$2,"Shared — your share: "&amp;TEXT(INDEX('Commission Data — Sales'!$T$7:$T$205,A23-7+1),"0%"),"Shared — your share: "&amp;TEXT(INDEX('Commission Data — Sales'!$X$7:$X$205,A23-7+1),"0%")))),""),IFERROR(IF(INDEX('Commission Data — Presales'!$N$7:$N$205,A23-7+1)=$D$2,IF(AND(INDEX('Commission Data — Presales'!$Q$7:$Q$205,A23-7+1)="",INDEX('Commission Data — Presales'!$T$7:$T$205,A23-7+1)=""),"Sole Presales (100%)","Shared — your share: "&amp;TEXT(INDEX('Commission Data — Presales'!$O$7:$O$205,A23-7+1),"0%")),IF(INDEX('Commission Data — Presales'!$Q$7:$Q$205,A23-7+1)=$D$2,"Shared — your share: "&amp;TEXT(INDEX('Commission Data — Presales'!$R$7:$R$205,A23-7+1),"0%"),"Shared — your share: "&amp;TEXT(INDEX('Commission Data — Presales'!$U$7:$U$205,A23-7+1),"0%"))),""))))),"")</f>
        <v/>
      </c>
      <c r="N23" t="str">
        <f>IFERROR(IF(INDEX(O4:O258,MATCH($D$2,O4:O258,0)+18)=$D$2,INDEX(P4:P258,MATCH($D$2,O4:O258,0)+18),""),"")</f>
        <v/>
      </c>
      <c r="O23" t="s">
        <v>168</v>
      </c>
      <c r="P23" t="s">
        <v>311</v>
      </c>
      <c r="Q23">
        <v>42</v>
      </c>
      <c r="R23" t="s">
        <v>165</v>
      </c>
    </row>
    <row r="24" spans="1:18" ht="18" customHeight="1" x14ac:dyDescent="0.45">
      <c r="A24" s="83" t="str">
        <f>IFERROR(IF(INDEX(O4:O258,MATCH($D$2,O4:O258,0)+19)=$D$2,INDEX(Q4:Q258,MATCH($D$2,O4:O258,0)+19),""),"")</f>
        <v/>
      </c>
      <c r="B24" s="199" t="str">
        <f>IF(A24&lt;&gt;"",IF(OR(N24="S",N24="M",N24="G",N24="D"),INDEX('Commission Data — Sales'!$C$7:$C$205,A24-7+1),INDEX('Commission Data — Presales'!$C$7:$C$205,A24-7+1)),"")</f>
        <v/>
      </c>
      <c r="C24" s="199" t="str">
        <f>IF(A24&lt;&gt;"",IF(OR(N24="S",N24="M",N24="G",N24="D"),INDEX('Commission Data — Sales'!$D$7:$D$205,A24-7+1),INDEX('Commission Data — Presales'!$D$7:$D$205,A24-7+1)),"")</f>
        <v/>
      </c>
      <c r="D24" s="199" t="str">
        <f>IF(A24&lt;&gt;"",IF(OR(N24="S",N24="M",N24="G",N24="D"),INDEX('Commission Data — Sales'!$E$7:$E$205,A24-7+1),INDEX('Commission Data — Presales'!$E$7:$E$205,A24-7+1)),"")</f>
        <v/>
      </c>
      <c r="E24" s="199" t="str">
        <f>IF(A24&lt;&gt;"",IF(OR(N24="S",N24="M",N24="G",N24="D"),INDEX('Commission Data — Sales'!$G$7:$G$205,A24-7+1),INDEX('Commission Data — Presales'!$G$7:$G$205,A24-7+1)),"")</f>
        <v/>
      </c>
      <c r="F24" s="200" t="str">
        <f>IF(A24&lt;&gt;"",IF(OR(N24="S",N24="M",N24="G",N24="D"),INDEX('Commission Data — Sales'!$H$7:$H$205,A24-7+1),INDEX('Commission Data — Presales'!$H$7:$H$205,A24-7+1)),"")</f>
        <v/>
      </c>
      <c r="G24" s="201" t="str">
        <f>IF(A24&lt;&gt;"",IF(OR(N24="S",N24="M",N24="G",N24="D"),INDEX('Commission Data — Sales'!$N$7:$N$205,A24-7+1),"Presales"),"")</f>
        <v/>
      </c>
      <c r="H24" s="202" t="str">
        <f>IF(A24&lt;&gt;"",IF(OR(N24="S",N24="M",N24="G",N24="D"),INDEX('Commission Data — Sales'!$L$7:$L$205,A24-7+1),INDEX('Commission Data — Presales'!$L$7:$L$205,A24-7+1)),"")</f>
        <v/>
      </c>
      <c r="I24" s="203">
        <f>IF(A24&lt;&gt;"",IF(OR(N24="S",N24="M",N24="G",N24="D"),INDEX('Commission Data — Sales'!$M$7:$M$205,A24-7+1),INDEX('Commission Data — Presales'!$M$7:$M$205,A24-7+1)),0)</f>
        <v>0</v>
      </c>
      <c r="J24" s="204" t="str">
        <f>IF(A24&lt;&gt;"",IF(N24="M",Config!$C$22,IF(N24="G",Config!$C$23,IF(N24="D",Config!$C$24,IF(N24="S",IFERROR(IF(INDEX('Commission Data — Sales'!$O$7:$O$205,A24-7+1)=$D$2,INDEX('Commission Data — Sales'!$Q$7:$Q$205,A24-7+1)*INDEX('Commission Data — Sales'!$P$7:$P$205,A24-7+1),IF(INDEX('Commission Data — Sales'!$S$7:$S$205,A24-7+1)=$D$2,INDEX('Commission Data — Sales'!$U$7:$U$205,A24-7+1)*INDEX('Commission Data — Sales'!$T$7:$T$205,A24-7+1),INDEX('Commission Data — Sales'!$Y$7:$Y$205,A24-7+1)*INDEX('Commission Data — Sales'!$X$7:$X$205,A24-7+1))),0),IFERROR(IF(INDEX('Commission Data — Presales'!$N$7:$N$205,A24-7+1)=$D$2,Config!$C$25*INDEX('Commission Data — Presales'!$O$7:$O$205,A24-7+1),IF(INDEX('Commission Data — Presales'!$Q$7:$Q$205,A24-7+1)=$D$2,Config!$C$25*INDEX('Commission Data — Presales'!$R$7:$R$205,A24-7+1),Config!$C$25*INDEX('Commission Data — Presales'!$U$7:$U$205,A24-7+1))),0))))),"")</f>
        <v/>
      </c>
      <c r="K24" s="205" t="str">
        <f>IF(A24&lt;&gt;"",IF(N24="M",IFERROR(INDEX('Commission Data — Sales'!$AB$7:$AB$205,A24-7+1),0),IF(N24="G",IFERROR(INDEX('Commission Data — Sales'!$AD$7:$AD$205,A24-7+1),0),IF(N24="D",IFERROR(INDEX('Commission Data — Sales'!$AF$7:$AF$205,A24-7+1),0),IF(N24="S",IFERROR(IF(INDEX('Commission Data — Sales'!$O$7:$O$205,A24-7+1)=$D$2,INDEX('Commission Data — Sales'!$R$7:$R$205,A24-7+1),0)+IF(INDEX('Commission Data — Sales'!$S$7:$S$205,A24-7+1)=$D$2,INDEX('Commission Data — Sales'!$V$7:$V$205,A24-7+1),0)+IF(INDEX('Commission Data — Sales'!$W$7:$W$205,A24-7+1)=$D$2,INDEX('Commission Data — Sales'!$Z$7:$Z$205,A24-7+1),0),0),IFERROR(IF(INDEX('Commission Data — Presales'!$N$7:$N$205,A24-7+1)=$D$2,INDEX('Commission Data — Presales'!$P$7:$P$205,A24-7+1),0)+IF(INDEX('Commission Data — Presales'!$Q$7:$Q$205,A24-7+1)=$D$2,INDEX('Commission Data — Presales'!$S$7:$S$205,A24-7+1),0)+IF(INDEX('Commission Data — Presales'!$T$7:$T$205,A24-7+1)=$D$2,INDEX('Commission Data — Presales'!$V$7:$V$205,A24-7+1),0),0))))),"")</f>
        <v/>
      </c>
      <c r="L24" s="163" t="str">
        <f>IF(A24&lt;&gt;"",IF(N24="M",IFERROR(INDEX('Commission Data — Sales'!$AB$7:$AB$205,A24-7+1),0),IF(N24="G",IFERROR(INDEX('Commission Data — Sales'!$AD$7:$AD$205,A24-7+1),0),IF(N24="D",IFERROR(INDEX('Commission Data — Sales'!$AF$7:$AF$205,A24-7+1),0),IF(N24="S",IFERROR(IF(INDEX('Commission Data — Sales'!$O$7:$O$205,A24-7+1)=$D$2,INDEX('Commission Data — Sales'!$AQ$7:$AQ$205,A24-7+1),0)+IF(INDEX('Commission Data — Sales'!$S$7:$S$205,A24-7+1)=$D$2,INDEX('Commission Data — Sales'!$AR$7:$AR$205,A24-7+1),0)+IF(INDEX('Commission Data — Sales'!$W$7:$W$205,A24-7+1)=$D$2,INDEX('Commission Data — Sales'!$AS$7:$AS$205,A24-7+1),0),0),IFERROR(IF(INDEX('Commission Data — Presales'!$N$7:$N$205,A24-7+1)=$D$2,INDEX('Commission Data — Presales'!$P$7:$P$205,A24-7+1),0)+IF(INDEX('Commission Data — Presales'!$Q$7:$Q$205,A24-7+1)=$D$2,INDEX('Commission Data — Presales'!$S$7:$S$205,A24-7+1),0)+IF(INDEX('Commission Data — Presales'!$T$7:$T$205,A24-7+1)=$D$2,INDEX('Commission Data — Presales'!$V$7:$V$205,A24-7+1),0),0))))),"")</f>
        <v/>
      </c>
      <c r="M24" s="206" t="str">
        <f>IF(A24&lt;&gt;"",IF(N24="M","PM — Umbrella Contract | rate: "&amp;TEXT(Config!$C$22,"0.0%"),IF(N24="G","Manager commission (0.7%)",IF(N24="D","Director commission (0.3%)",IF(N24="S",IFERROR(IF(INDEX('Commission Data — Sales'!$N$7:$N$205,A24-7+1)="Umbrella Contract","Umbrella Contract — your rate: "&amp;TEXT(Config!$C$21,"0.0%")&amp;IF(INDEX('Commission Data — Sales'!$AA$7:$AA$205,A24-7+1)&lt;&gt;""," | PM: "&amp;INDEX('Commission Data — Sales'!$AA$7:$AA$205,A24-7+1)&amp;" ("&amp;TEXT(Config!$C$22,"0.0%")&amp;")",""),IF(INDEX('Commission Data — Sales'!$O$7:$O$205,A24-7+1)=$D$2,IF(AND(INDEX('Commission Data — Sales'!$S$7:$S$205,A24-7+1)="",,INDEX('Commission Data — Sales'!$W$7:$W$205,A24-7+1)=""),"Sole PIC (100%)","Shared — your share: "&amp;TEXT(INDEX('Commission Data — Sales'!$P$7:$P$205,A24-7+1),"0%")),IF(INDEX('Commission Data — Sales'!$S$7:$S$205,A24-7+1)=$D$2,"Shared — your share: "&amp;TEXT(INDEX('Commission Data — Sales'!$T$7:$T$205,A24-7+1),"0%"),"Shared — your share: "&amp;TEXT(INDEX('Commission Data — Sales'!$X$7:$X$205,A24-7+1),"0%")))),""),IFERROR(IF(INDEX('Commission Data — Presales'!$N$7:$N$205,A24-7+1)=$D$2,IF(AND(INDEX('Commission Data — Presales'!$Q$7:$Q$205,A24-7+1)="",INDEX('Commission Data — Presales'!$T$7:$T$205,A24-7+1)=""),"Sole Presales (100%)","Shared — your share: "&amp;TEXT(INDEX('Commission Data — Presales'!$O$7:$O$205,A24-7+1),"0%")),IF(INDEX('Commission Data — Presales'!$Q$7:$Q$205,A24-7+1)=$D$2,"Shared — your share: "&amp;TEXT(INDEX('Commission Data — Presales'!$R$7:$R$205,A24-7+1),"0%"),"Shared — your share: "&amp;TEXT(INDEX('Commission Data — Presales'!$U$7:$U$205,A24-7+1),"0%"))),""))))),"")</f>
        <v/>
      </c>
      <c r="N24" t="str">
        <f>IFERROR(IF(INDEX(O4:O258,MATCH($D$2,O4:O258,0)+19)=$D$2,INDEX(P4:P258,MATCH($D$2,O4:O258,0)+19),""),"")</f>
        <v/>
      </c>
      <c r="O24" t="s">
        <v>168</v>
      </c>
      <c r="P24" t="s">
        <v>311</v>
      </c>
      <c r="Q24">
        <v>43</v>
      </c>
      <c r="R24" t="s">
        <v>149</v>
      </c>
    </row>
    <row r="25" spans="1:18" ht="18" customHeight="1" x14ac:dyDescent="0.45">
      <c r="A25" s="83" t="str">
        <f>IFERROR(IF(INDEX(O4:O258,MATCH($D$2,O4:O258,0)+20)=$D$2,INDEX(Q4:Q258,MATCH($D$2,O4:O258,0)+20),""),"")</f>
        <v/>
      </c>
      <c r="B25" s="191" t="str">
        <f>IF(A25&lt;&gt;"",IF(OR(N25="S",N25="M",N25="G",N25="D"),INDEX('Commission Data — Sales'!$C$7:$C$205,A25-7+1),INDEX('Commission Data — Presales'!$C$7:$C$205,A25-7+1)),"")</f>
        <v/>
      </c>
      <c r="C25" s="191" t="str">
        <f>IF(A25&lt;&gt;"",IF(OR(N25="S",N25="M",N25="G",N25="D"),INDEX('Commission Data — Sales'!$D$7:$D$205,A25-7+1),INDEX('Commission Data — Presales'!$D$7:$D$205,A25-7+1)),"")</f>
        <v/>
      </c>
      <c r="D25" s="191" t="str">
        <f>IF(A25&lt;&gt;"",IF(OR(N25="S",N25="M",N25="G",N25="D"),INDEX('Commission Data — Sales'!$E$7:$E$205,A25-7+1),INDEX('Commission Data — Presales'!$E$7:$E$205,A25-7+1)),"")</f>
        <v/>
      </c>
      <c r="E25" s="191" t="str">
        <f>IF(A25&lt;&gt;"",IF(OR(N25="S",N25="M",N25="G",N25="D"),INDEX('Commission Data — Sales'!$G$7:$G$205,A25-7+1),INDEX('Commission Data — Presales'!$G$7:$G$205,A25-7+1)),"")</f>
        <v/>
      </c>
      <c r="F25" s="192" t="str">
        <f>IF(A25&lt;&gt;"",IF(OR(N25="S",N25="M",N25="G",N25="D"),INDEX('Commission Data — Sales'!$H$7:$H$205,A25-7+1),INDEX('Commission Data — Presales'!$H$7:$H$205,A25-7+1)),"")</f>
        <v/>
      </c>
      <c r="G25" s="193" t="str">
        <f>IF(A25&lt;&gt;"",IF(OR(N25="S",N25="M",N25="G",N25="D"),INDEX('Commission Data — Sales'!$N$7:$N$205,A25-7+1),"Presales"),"")</f>
        <v/>
      </c>
      <c r="H25" s="194" t="str">
        <f>IF(A25&lt;&gt;"",IF(OR(N25="S",N25="M",N25="G",N25="D"),INDEX('Commission Data — Sales'!$L$7:$L$205,A25-7+1),INDEX('Commission Data — Presales'!$L$7:$L$205,A25-7+1)),"")</f>
        <v/>
      </c>
      <c r="I25" s="195">
        <f>IF(A25&lt;&gt;"",IF(OR(N25="S",N25="M",N25="G",N25="D"),INDEX('Commission Data — Sales'!$M$7:$M$205,A25-7+1),INDEX('Commission Data — Presales'!$M$7:$M$205,A25-7+1)),0)</f>
        <v>0</v>
      </c>
      <c r="J25" s="196" t="str">
        <f>IF(A25&lt;&gt;"",IF(N25="M",Config!$C$22,IF(N25="G",Config!$C$23,IF(N25="D",Config!$C$24,IF(N25="S",IFERROR(IF(INDEX('Commission Data — Sales'!$O$7:$O$205,A25-7+1)=$D$2,INDEX('Commission Data — Sales'!$Q$7:$Q$205,A25-7+1)*INDEX('Commission Data — Sales'!$P$7:$P$205,A25-7+1),IF(INDEX('Commission Data — Sales'!$S$7:$S$205,A25-7+1)=$D$2,INDEX('Commission Data — Sales'!$U$7:$U$205,A25-7+1)*INDEX('Commission Data — Sales'!$T$7:$T$205,A25-7+1),INDEX('Commission Data — Sales'!$Y$7:$Y$205,A25-7+1)*INDEX('Commission Data — Sales'!$X$7:$X$205,A25-7+1))),0),IFERROR(IF(INDEX('Commission Data — Presales'!$N$7:$N$205,A25-7+1)=$D$2,Config!$C$25*INDEX('Commission Data — Presales'!$O$7:$O$205,A25-7+1),IF(INDEX('Commission Data — Presales'!$Q$7:$Q$205,A25-7+1)=$D$2,Config!$C$25*INDEX('Commission Data — Presales'!$R$7:$R$205,A25-7+1),Config!$C$25*INDEX('Commission Data — Presales'!$U$7:$U$205,A25-7+1))),0))))),"")</f>
        <v/>
      </c>
      <c r="K25" s="197" t="str">
        <f>IF(A25&lt;&gt;"",IF(N25="M",IFERROR(INDEX('Commission Data — Sales'!$AB$7:$AB$205,A25-7+1),0),IF(N25="G",IFERROR(INDEX('Commission Data — Sales'!$AD$7:$AD$205,A25-7+1),0),IF(N25="D",IFERROR(INDEX('Commission Data — Sales'!$AF$7:$AF$205,A25-7+1),0),IF(N25="S",IFERROR(IF(INDEX('Commission Data — Sales'!$O$7:$O$205,A25-7+1)=$D$2,INDEX('Commission Data — Sales'!$R$7:$R$205,A25-7+1),0)+IF(INDEX('Commission Data — Sales'!$S$7:$S$205,A25-7+1)=$D$2,INDEX('Commission Data — Sales'!$V$7:$V$205,A25-7+1),0)+IF(INDEX('Commission Data — Sales'!$W$7:$W$205,A25-7+1)=$D$2,INDEX('Commission Data — Sales'!$Z$7:$Z$205,A25-7+1),0),0),IFERROR(IF(INDEX('Commission Data — Presales'!$N$7:$N$205,A25-7+1)=$D$2,INDEX('Commission Data — Presales'!$P$7:$P$205,A25-7+1),0)+IF(INDEX('Commission Data — Presales'!$Q$7:$Q$205,A25-7+1)=$D$2,INDEX('Commission Data — Presales'!$S$7:$S$205,A25-7+1),0)+IF(INDEX('Commission Data — Presales'!$T$7:$T$205,A25-7+1)=$D$2,INDEX('Commission Data — Presales'!$V$7:$V$205,A25-7+1),0),0))))),"")</f>
        <v/>
      </c>
      <c r="L25" s="155" t="str">
        <f>IF(A25&lt;&gt;"",IF(N25="M",IFERROR(INDEX('Commission Data — Sales'!$AB$7:$AB$205,A25-7+1),0),IF(N25="G",IFERROR(INDEX('Commission Data — Sales'!$AD$7:$AD$205,A25-7+1),0),IF(N25="D",IFERROR(INDEX('Commission Data — Sales'!$AF$7:$AF$205,A25-7+1),0),IF(N25="S",IFERROR(IF(INDEX('Commission Data — Sales'!$O$7:$O$205,A25-7+1)=$D$2,INDEX('Commission Data — Sales'!$AQ$7:$AQ$205,A25-7+1),0)+IF(INDEX('Commission Data — Sales'!$S$7:$S$205,A25-7+1)=$D$2,INDEX('Commission Data — Sales'!$AR$7:$AR$205,A25-7+1),0)+IF(INDEX('Commission Data — Sales'!$W$7:$W$205,A25-7+1)=$D$2,INDEX('Commission Data — Sales'!$AS$7:$AS$205,A25-7+1),0),0),IFERROR(IF(INDEX('Commission Data — Presales'!$N$7:$N$205,A25-7+1)=$D$2,INDEX('Commission Data — Presales'!$P$7:$P$205,A25-7+1),0)+IF(INDEX('Commission Data — Presales'!$Q$7:$Q$205,A25-7+1)=$D$2,INDEX('Commission Data — Presales'!$S$7:$S$205,A25-7+1),0)+IF(INDEX('Commission Data — Presales'!$T$7:$T$205,A25-7+1)=$D$2,INDEX('Commission Data — Presales'!$V$7:$V$205,A25-7+1),0),0))))),"")</f>
        <v/>
      </c>
      <c r="M25" s="198" t="str">
        <f>IF(A25&lt;&gt;"",IF(N25="M","PM — Umbrella Contract | rate: "&amp;TEXT(Config!$C$22,"0.0%"),IF(N25="G","Manager commission (0.7%)",IF(N25="D","Director commission (0.3%)",IF(N25="S",IFERROR(IF(INDEX('Commission Data — Sales'!$N$7:$N$205,A25-7+1)="Umbrella Contract","Umbrella Contract — your rate: "&amp;TEXT(Config!$C$21,"0.0%")&amp;IF(INDEX('Commission Data — Sales'!$AA$7:$AA$205,A25-7+1)&lt;&gt;""," | PM: "&amp;INDEX('Commission Data — Sales'!$AA$7:$AA$205,A25-7+1)&amp;" ("&amp;TEXT(Config!$C$22,"0.0%")&amp;")",""),IF(INDEX('Commission Data — Sales'!$O$7:$O$205,A25-7+1)=$D$2,IF(AND(INDEX('Commission Data — Sales'!$S$7:$S$205,A25-7+1)="",,INDEX('Commission Data — Sales'!$W$7:$W$205,A25-7+1)=""),"Sole PIC (100%)","Shared — your share: "&amp;TEXT(INDEX('Commission Data — Sales'!$P$7:$P$205,A25-7+1),"0%")),IF(INDEX('Commission Data — Sales'!$S$7:$S$205,A25-7+1)=$D$2,"Shared — your share: "&amp;TEXT(INDEX('Commission Data — Sales'!$T$7:$T$205,A25-7+1),"0%"),"Shared — your share: "&amp;TEXT(INDEX('Commission Data — Sales'!$X$7:$X$205,A25-7+1),"0%")))),""),IFERROR(IF(INDEX('Commission Data — Presales'!$N$7:$N$205,A25-7+1)=$D$2,IF(AND(INDEX('Commission Data — Presales'!$Q$7:$Q$205,A25-7+1)="",INDEX('Commission Data — Presales'!$T$7:$T$205,A25-7+1)=""),"Sole Presales (100%)","Shared — your share: "&amp;TEXT(INDEX('Commission Data — Presales'!$O$7:$O$205,A25-7+1),"0%")),IF(INDEX('Commission Data — Presales'!$Q$7:$Q$205,A25-7+1)=$D$2,"Shared — your share: "&amp;TEXT(INDEX('Commission Data — Presales'!$R$7:$R$205,A25-7+1),"0%"),"Shared — your share: "&amp;TEXT(INDEX('Commission Data — Presales'!$U$7:$U$205,A25-7+1),"0%"))),""))))),"")</f>
        <v/>
      </c>
      <c r="N25" t="str">
        <f>IFERROR(IF(INDEX(O4:O258,MATCH($D$2,O4:O258,0)+20)=$D$2,INDEX(P4:P258,MATCH($D$2,O4:O258,0)+20),""),"")</f>
        <v/>
      </c>
      <c r="O25" t="s">
        <v>168</v>
      </c>
      <c r="P25" t="s">
        <v>311</v>
      </c>
      <c r="Q25">
        <v>44</v>
      </c>
      <c r="R25" t="s">
        <v>150</v>
      </c>
    </row>
    <row r="26" spans="1:18" ht="18" customHeight="1" x14ac:dyDescent="0.45">
      <c r="A26" s="83" t="str">
        <f>IFERROR(IF(INDEX(O4:O258,MATCH($D$2,O4:O258,0)+21)=$D$2,INDEX(Q4:Q258,MATCH($D$2,O4:O258,0)+21),""),"")</f>
        <v/>
      </c>
      <c r="B26" s="199" t="str">
        <f>IF(A26&lt;&gt;"",IF(OR(N26="S",N26="M",N26="G",N26="D"),INDEX('Commission Data — Sales'!$C$7:$C$205,A26-7+1),INDEX('Commission Data — Presales'!$C$7:$C$205,A26-7+1)),"")</f>
        <v/>
      </c>
      <c r="C26" s="199" t="str">
        <f>IF(A26&lt;&gt;"",IF(OR(N26="S",N26="M",N26="G",N26="D"),INDEX('Commission Data — Sales'!$D$7:$D$205,A26-7+1),INDEX('Commission Data — Presales'!$D$7:$D$205,A26-7+1)),"")</f>
        <v/>
      </c>
      <c r="D26" s="199" t="str">
        <f>IF(A26&lt;&gt;"",IF(OR(N26="S",N26="M",N26="G",N26="D"),INDEX('Commission Data — Sales'!$E$7:$E$205,A26-7+1),INDEX('Commission Data — Presales'!$E$7:$E$205,A26-7+1)),"")</f>
        <v/>
      </c>
      <c r="E26" s="199" t="str">
        <f>IF(A26&lt;&gt;"",IF(OR(N26="S",N26="M",N26="G",N26="D"),INDEX('Commission Data — Sales'!$G$7:$G$205,A26-7+1),INDEX('Commission Data — Presales'!$G$7:$G$205,A26-7+1)),"")</f>
        <v/>
      </c>
      <c r="F26" s="200" t="str">
        <f>IF(A26&lt;&gt;"",IF(OR(N26="S",N26="M",N26="G",N26="D"),INDEX('Commission Data — Sales'!$H$7:$H$205,A26-7+1),INDEX('Commission Data — Presales'!$H$7:$H$205,A26-7+1)),"")</f>
        <v/>
      </c>
      <c r="G26" s="201" t="str">
        <f>IF(A26&lt;&gt;"",IF(OR(N26="S",N26="M",N26="G",N26="D"),INDEX('Commission Data — Sales'!$N$7:$N$205,A26-7+1),"Presales"),"")</f>
        <v/>
      </c>
      <c r="H26" s="202" t="str">
        <f>IF(A26&lt;&gt;"",IF(OR(N26="S",N26="M",N26="G",N26="D"),INDEX('Commission Data — Sales'!$L$7:$L$205,A26-7+1),INDEX('Commission Data — Presales'!$L$7:$L$205,A26-7+1)),"")</f>
        <v/>
      </c>
      <c r="I26" s="203">
        <f>IF(A26&lt;&gt;"",IF(OR(N26="S",N26="M",N26="G",N26="D"),INDEX('Commission Data — Sales'!$M$7:$M$205,A26-7+1),INDEX('Commission Data — Presales'!$M$7:$M$205,A26-7+1)),0)</f>
        <v>0</v>
      </c>
      <c r="J26" s="204" t="str">
        <f>IF(A26&lt;&gt;"",IF(N26="M",Config!$C$22,IF(N26="G",Config!$C$23,IF(N26="D",Config!$C$24,IF(N26="S",IFERROR(IF(INDEX('Commission Data — Sales'!$O$7:$O$205,A26-7+1)=$D$2,INDEX('Commission Data — Sales'!$Q$7:$Q$205,A26-7+1)*INDEX('Commission Data — Sales'!$P$7:$P$205,A26-7+1),IF(INDEX('Commission Data — Sales'!$S$7:$S$205,A26-7+1)=$D$2,INDEX('Commission Data — Sales'!$U$7:$U$205,A26-7+1)*INDEX('Commission Data — Sales'!$T$7:$T$205,A26-7+1),INDEX('Commission Data — Sales'!$Y$7:$Y$205,A26-7+1)*INDEX('Commission Data — Sales'!$X$7:$X$205,A26-7+1))),0),IFERROR(IF(INDEX('Commission Data — Presales'!$N$7:$N$205,A26-7+1)=$D$2,Config!$C$25*INDEX('Commission Data — Presales'!$O$7:$O$205,A26-7+1),IF(INDEX('Commission Data — Presales'!$Q$7:$Q$205,A26-7+1)=$D$2,Config!$C$25*INDEX('Commission Data — Presales'!$R$7:$R$205,A26-7+1),Config!$C$25*INDEX('Commission Data — Presales'!$U$7:$U$205,A26-7+1))),0))))),"")</f>
        <v/>
      </c>
      <c r="K26" s="205" t="str">
        <f>IF(A26&lt;&gt;"",IF(N26="M",IFERROR(INDEX('Commission Data — Sales'!$AB$7:$AB$205,A26-7+1),0),IF(N26="G",IFERROR(INDEX('Commission Data — Sales'!$AD$7:$AD$205,A26-7+1),0),IF(N26="D",IFERROR(INDEX('Commission Data — Sales'!$AF$7:$AF$205,A26-7+1),0),IF(N26="S",IFERROR(IF(INDEX('Commission Data — Sales'!$O$7:$O$205,A26-7+1)=$D$2,INDEX('Commission Data — Sales'!$R$7:$R$205,A26-7+1),0)+IF(INDEX('Commission Data — Sales'!$S$7:$S$205,A26-7+1)=$D$2,INDEX('Commission Data — Sales'!$V$7:$V$205,A26-7+1),0)+IF(INDEX('Commission Data — Sales'!$W$7:$W$205,A26-7+1)=$D$2,INDEX('Commission Data — Sales'!$Z$7:$Z$205,A26-7+1),0),0),IFERROR(IF(INDEX('Commission Data — Presales'!$N$7:$N$205,A26-7+1)=$D$2,INDEX('Commission Data — Presales'!$P$7:$P$205,A26-7+1),0)+IF(INDEX('Commission Data — Presales'!$Q$7:$Q$205,A26-7+1)=$D$2,INDEX('Commission Data — Presales'!$S$7:$S$205,A26-7+1),0)+IF(INDEX('Commission Data — Presales'!$T$7:$T$205,A26-7+1)=$D$2,INDEX('Commission Data — Presales'!$V$7:$V$205,A26-7+1),0),0))))),"")</f>
        <v/>
      </c>
      <c r="L26" s="163" t="str">
        <f>IF(A26&lt;&gt;"",IF(N26="M",IFERROR(INDEX('Commission Data — Sales'!$AB$7:$AB$205,A26-7+1),0),IF(N26="G",IFERROR(INDEX('Commission Data — Sales'!$AD$7:$AD$205,A26-7+1),0),IF(N26="D",IFERROR(INDEX('Commission Data — Sales'!$AF$7:$AF$205,A26-7+1),0),IF(N26="S",IFERROR(IF(INDEX('Commission Data — Sales'!$O$7:$O$205,A26-7+1)=$D$2,INDEX('Commission Data — Sales'!$AQ$7:$AQ$205,A26-7+1),0)+IF(INDEX('Commission Data — Sales'!$S$7:$S$205,A26-7+1)=$D$2,INDEX('Commission Data — Sales'!$AR$7:$AR$205,A26-7+1),0)+IF(INDEX('Commission Data — Sales'!$W$7:$W$205,A26-7+1)=$D$2,INDEX('Commission Data — Sales'!$AS$7:$AS$205,A26-7+1),0),0),IFERROR(IF(INDEX('Commission Data — Presales'!$N$7:$N$205,A26-7+1)=$D$2,INDEX('Commission Data — Presales'!$P$7:$P$205,A26-7+1),0)+IF(INDEX('Commission Data — Presales'!$Q$7:$Q$205,A26-7+1)=$D$2,INDEX('Commission Data — Presales'!$S$7:$S$205,A26-7+1),0)+IF(INDEX('Commission Data — Presales'!$T$7:$T$205,A26-7+1)=$D$2,INDEX('Commission Data — Presales'!$V$7:$V$205,A26-7+1),0),0))))),"")</f>
        <v/>
      </c>
      <c r="M26" s="206" t="str">
        <f>IF(A26&lt;&gt;"",IF(N26="M","PM — Umbrella Contract | rate: "&amp;TEXT(Config!$C$22,"0.0%"),IF(N26="G","Manager commission (0.7%)",IF(N26="D","Director commission (0.3%)",IF(N26="S",IFERROR(IF(INDEX('Commission Data — Sales'!$N$7:$N$205,A26-7+1)="Umbrella Contract","Umbrella Contract — your rate: "&amp;TEXT(Config!$C$21,"0.0%")&amp;IF(INDEX('Commission Data — Sales'!$AA$7:$AA$205,A26-7+1)&lt;&gt;""," | PM: "&amp;INDEX('Commission Data — Sales'!$AA$7:$AA$205,A26-7+1)&amp;" ("&amp;TEXT(Config!$C$22,"0.0%")&amp;")",""),IF(INDEX('Commission Data — Sales'!$O$7:$O$205,A26-7+1)=$D$2,IF(AND(INDEX('Commission Data — Sales'!$S$7:$S$205,A26-7+1)="",,INDEX('Commission Data — Sales'!$W$7:$W$205,A26-7+1)=""),"Sole PIC (100%)","Shared — your share: "&amp;TEXT(INDEX('Commission Data — Sales'!$P$7:$P$205,A26-7+1),"0%")),IF(INDEX('Commission Data — Sales'!$S$7:$S$205,A26-7+1)=$D$2,"Shared — your share: "&amp;TEXT(INDEX('Commission Data — Sales'!$T$7:$T$205,A26-7+1),"0%"),"Shared — your share: "&amp;TEXT(INDEX('Commission Data — Sales'!$X$7:$X$205,A26-7+1),"0%")))),""),IFERROR(IF(INDEX('Commission Data — Presales'!$N$7:$N$205,A26-7+1)=$D$2,IF(AND(INDEX('Commission Data — Presales'!$Q$7:$Q$205,A26-7+1)="",INDEX('Commission Data — Presales'!$T$7:$T$205,A26-7+1)=""),"Sole Presales (100%)","Shared — your share: "&amp;TEXT(INDEX('Commission Data — Presales'!$O$7:$O$205,A26-7+1),"0%")),IF(INDEX('Commission Data — Presales'!$Q$7:$Q$205,A26-7+1)=$D$2,"Shared — your share: "&amp;TEXT(INDEX('Commission Data — Presales'!$R$7:$R$205,A26-7+1),"0%"),"Shared — your share: "&amp;TEXT(INDEX('Commission Data — Presales'!$U$7:$U$205,A26-7+1),"0%"))),""))))),"")</f>
        <v/>
      </c>
      <c r="N26" t="str">
        <f>IFERROR(IF(INDEX(O4:O258,MATCH($D$2,O4:O258,0)+21)=$D$2,INDEX(P4:P258,MATCH($D$2,O4:O258,0)+21),""),"")</f>
        <v/>
      </c>
      <c r="O26" t="s">
        <v>168</v>
      </c>
      <c r="P26" t="s">
        <v>311</v>
      </c>
      <c r="Q26">
        <v>45</v>
      </c>
      <c r="R26" t="s">
        <v>159</v>
      </c>
    </row>
    <row r="27" spans="1:18" ht="18" customHeight="1" x14ac:dyDescent="0.45">
      <c r="A27" s="83" t="str">
        <f>IFERROR(IF(INDEX(O4:O258,MATCH($D$2,O4:O258,0)+22)=$D$2,INDEX(Q4:Q258,MATCH($D$2,O4:O258,0)+22),""),"")</f>
        <v/>
      </c>
      <c r="B27" s="191" t="str">
        <f>IF(A27&lt;&gt;"",IF(OR(N27="S",N27="M",N27="G",N27="D"),INDEX('Commission Data — Sales'!$C$7:$C$205,A27-7+1),INDEX('Commission Data — Presales'!$C$7:$C$205,A27-7+1)),"")</f>
        <v/>
      </c>
      <c r="C27" s="191" t="str">
        <f>IF(A27&lt;&gt;"",IF(OR(N27="S",N27="M",N27="G",N27="D"),INDEX('Commission Data — Sales'!$D$7:$D$205,A27-7+1),INDEX('Commission Data — Presales'!$D$7:$D$205,A27-7+1)),"")</f>
        <v/>
      </c>
      <c r="D27" s="191" t="str">
        <f>IF(A27&lt;&gt;"",IF(OR(N27="S",N27="M",N27="G",N27="D"),INDEX('Commission Data — Sales'!$E$7:$E$205,A27-7+1),INDEX('Commission Data — Presales'!$E$7:$E$205,A27-7+1)),"")</f>
        <v/>
      </c>
      <c r="E27" s="191" t="str">
        <f>IF(A27&lt;&gt;"",IF(OR(N27="S",N27="M",N27="G",N27="D"),INDEX('Commission Data — Sales'!$G$7:$G$205,A27-7+1),INDEX('Commission Data — Presales'!$G$7:$G$205,A27-7+1)),"")</f>
        <v/>
      </c>
      <c r="F27" s="192" t="str">
        <f>IF(A27&lt;&gt;"",IF(OR(N27="S",N27="M",N27="G",N27="D"),INDEX('Commission Data — Sales'!$H$7:$H$205,A27-7+1),INDEX('Commission Data — Presales'!$H$7:$H$205,A27-7+1)),"")</f>
        <v/>
      </c>
      <c r="G27" s="193" t="str">
        <f>IF(A27&lt;&gt;"",IF(OR(N27="S",N27="M",N27="G",N27="D"),INDEX('Commission Data — Sales'!$N$7:$N$205,A27-7+1),"Presales"),"")</f>
        <v/>
      </c>
      <c r="H27" s="194" t="str">
        <f>IF(A27&lt;&gt;"",IF(OR(N27="S",N27="M",N27="G",N27="D"),INDEX('Commission Data — Sales'!$L$7:$L$205,A27-7+1),INDEX('Commission Data — Presales'!$L$7:$L$205,A27-7+1)),"")</f>
        <v/>
      </c>
      <c r="I27" s="195">
        <f>IF(A27&lt;&gt;"",IF(OR(N27="S",N27="M",N27="G",N27="D"),INDEX('Commission Data — Sales'!$M$7:$M$205,A27-7+1),INDEX('Commission Data — Presales'!$M$7:$M$205,A27-7+1)),0)</f>
        <v>0</v>
      </c>
      <c r="J27" s="196" t="str">
        <f>IF(A27&lt;&gt;"",IF(N27="M",Config!$C$22,IF(N27="G",Config!$C$23,IF(N27="D",Config!$C$24,IF(N27="S",IFERROR(IF(INDEX('Commission Data — Sales'!$O$7:$O$205,A27-7+1)=$D$2,INDEX('Commission Data — Sales'!$Q$7:$Q$205,A27-7+1)*INDEX('Commission Data — Sales'!$P$7:$P$205,A27-7+1),IF(INDEX('Commission Data — Sales'!$S$7:$S$205,A27-7+1)=$D$2,INDEX('Commission Data — Sales'!$U$7:$U$205,A27-7+1)*INDEX('Commission Data — Sales'!$T$7:$T$205,A27-7+1),INDEX('Commission Data — Sales'!$Y$7:$Y$205,A27-7+1)*INDEX('Commission Data — Sales'!$X$7:$X$205,A27-7+1))),0),IFERROR(IF(INDEX('Commission Data — Presales'!$N$7:$N$205,A27-7+1)=$D$2,Config!$C$25*INDEX('Commission Data — Presales'!$O$7:$O$205,A27-7+1),IF(INDEX('Commission Data — Presales'!$Q$7:$Q$205,A27-7+1)=$D$2,Config!$C$25*INDEX('Commission Data — Presales'!$R$7:$R$205,A27-7+1),Config!$C$25*INDEX('Commission Data — Presales'!$U$7:$U$205,A27-7+1))),0))))),"")</f>
        <v/>
      </c>
      <c r="K27" s="197" t="str">
        <f>IF(A27&lt;&gt;"",IF(N27="M",IFERROR(INDEX('Commission Data — Sales'!$AB$7:$AB$205,A27-7+1),0),IF(N27="G",IFERROR(INDEX('Commission Data — Sales'!$AD$7:$AD$205,A27-7+1),0),IF(N27="D",IFERROR(INDEX('Commission Data — Sales'!$AF$7:$AF$205,A27-7+1),0),IF(N27="S",IFERROR(IF(INDEX('Commission Data — Sales'!$O$7:$O$205,A27-7+1)=$D$2,INDEX('Commission Data — Sales'!$R$7:$R$205,A27-7+1),0)+IF(INDEX('Commission Data — Sales'!$S$7:$S$205,A27-7+1)=$D$2,INDEX('Commission Data — Sales'!$V$7:$V$205,A27-7+1),0)+IF(INDEX('Commission Data — Sales'!$W$7:$W$205,A27-7+1)=$D$2,INDEX('Commission Data — Sales'!$Z$7:$Z$205,A27-7+1),0),0),IFERROR(IF(INDEX('Commission Data — Presales'!$N$7:$N$205,A27-7+1)=$D$2,INDEX('Commission Data — Presales'!$P$7:$P$205,A27-7+1),0)+IF(INDEX('Commission Data — Presales'!$Q$7:$Q$205,A27-7+1)=$D$2,INDEX('Commission Data — Presales'!$S$7:$S$205,A27-7+1),0)+IF(INDEX('Commission Data — Presales'!$T$7:$T$205,A27-7+1)=$D$2,INDEX('Commission Data — Presales'!$V$7:$V$205,A27-7+1),0),0))))),"")</f>
        <v/>
      </c>
      <c r="L27" s="155" t="str">
        <f>IF(A27&lt;&gt;"",IF(N27="M",IFERROR(INDEX('Commission Data — Sales'!$AB$7:$AB$205,A27-7+1),0),IF(N27="G",IFERROR(INDEX('Commission Data — Sales'!$AD$7:$AD$205,A27-7+1),0),IF(N27="D",IFERROR(INDEX('Commission Data — Sales'!$AF$7:$AF$205,A27-7+1),0),IF(N27="S",IFERROR(IF(INDEX('Commission Data — Sales'!$O$7:$O$205,A27-7+1)=$D$2,INDEX('Commission Data — Sales'!$AQ$7:$AQ$205,A27-7+1),0)+IF(INDEX('Commission Data — Sales'!$S$7:$S$205,A27-7+1)=$D$2,INDEX('Commission Data — Sales'!$AR$7:$AR$205,A27-7+1),0)+IF(INDEX('Commission Data — Sales'!$W$7:$W$205,A27-7+1)=$D$2,INDEX('Commission Data — Sales'!$AS$7:$AS$205,A27-7+1),0),0),IFERROR(IF(INDEX('Commission Data — Presales'!$N$7:$N$205,A27-7+1)=$D$2,INDEX('Commission Data — Presales'!$P$7:$P$205,A27-7+1),0)+IF(INDEX('Commission Data — Presales'!$Q$7:$Q$205,A27-7+1)=$D$2,INDEX('Commission Data — Presales'!$S$7:$S$205,A27-7+1),0)+IF(INDEX('Commission Data — Presales'!$T$7:$T$205,A27-7+1)=$D$2,INDEX('Commission Data — Presales'!$V$7:$V$205,A27-7+1),0),0))))),"")</f>
        <v/>
      </c>
      <c r="M27" s="198" t="str">
        <f>IF(A27&lt;&gt;"",IF(N27="M","PM — Umbrella Contract | rate: "&amp;TEXT(Config!$C$22,"0.0%"),IF(N27="G","Manager commission (0.7%)",IF(N27="D","Director commission (0.3%)",IF(N27="S",IFERROR(IF(INDEX('Commission Data — Sales'!$N$7:$N$205,A27-7+1)="Umbrella Contract","Umbrella Contract — your rate: "&amp;TEXT(Config!$C$21,"0.0%")&amp;IF(INDEX('Commission Data — Sales'!$AA$7:$AA$205,A27-7+1)&lt;&gt;""," | PM: "&amp;INDEX('Commission Data — Sales'!$AA$7:$AA$205,A27-7+1)&amp;" ("&amp;TEXT(Config!$C$22,"0.0%")&amp;")",""),IF(INDEX('Commission Data — Sales'!$O$7:$O$205,A27-7+1)=$D$2,IF(AND(INDEX('Commission Data — Sales'!$S$7:$S$205,A27-7+1)="",,INDEX('Commission Data — Sales'!$W$7:$W$205,A27-7+1)=""),"Sole PIC (100%)","Shared — your share: "&amp;TEXT(INDEX('Commission Data — Sales'!$P$7:$P$205,A27-7+1),"0%")),IF(INDEX('Commission Data — Sales'!$S$7:$S$205,A27-7+1)=$D$2,"Shared — your share: "&amp;TEXT(INDEX('Commission Data — Sales'!$T$7:$T$205,A27-7+1),"0%"),"Shared — your share: "&amp;TEXT(INDEX('Commission Data — Sales'!$X$7:$X$205,A27-7+1),"0%")))),""),IFERROR(IF(INDEX('Commission Data — Presales'!$N$7:$N$205,A27-7+1)=$D$2,IF(AND(INDEX('Commission Data — Presales'!$Q$7:$Q$205,A27-7+1)="",INDEX('Commission Data — Presales'!$T$7:$T$205,A27-7+1)=""),"Sole Presales (100%)","Shared — your share: "&amp;TEXT(INDEX('Commission Data — Presales'!$O$7:$O$205,A27-7+1),"0%")),IF(INDEX('Commission Data — Presales'!$Q$7:$Q$205,A27-7+1)=$D$2,"Shared — your share: "&amp;TEXT(INDEX('Commission Data — Presales'!$R$7:$R$205,A27-7+1),"0%"),"Shared — your share: "&amp;TEXT(INDEX('Commission Data — Presales'!$U$7:$U$205,A27-7+1),"0%"))),""))))),"")</f>
        <v/>
      </c>
      <c r="N27" t="str">
        <f>IFERROR(IF(INDEX(O4:O258,MATCH($D$2,O4:O258,0)+22)=$D$2,INDEX(P4:P258,MATCH($D$2,O4:O258,0)+22),""),"")</f>
        <v/>
      </c>
      <c r="O27" t="s">
        <v>168</v>
      </c>
      <c r="P27" t="s">
        <v>311</v>
      </c>
      <c r="Q27">
        <v>46</v>
      </c>
      <c r="R27" t="s">
        <v>162</v>
      </c>
    </row>
    <row r="28" spans="1:18" ht="18" customHeight="1" x14ac:dyDescent="0.45">
      <c r="A28" s="83" t="str">
        <f>IFERROR(IF(INDEX(O4:O258,MATCH($D$2,O4:O258,0)+23)=$D$2,INDEX(Q4:Q258,MATCH($D$2,O4:O258,0)+23),""),"")</f>
        <v/>
      </c>
      <c r="B28" s="199" t="str">
        <f>IF(A28&lt;&gt;"",IF(OR(N28="S",N28="M",N28="G",N28="D"),INDEX('Commission Data — Sales'!$C$7:$C$205,A28-7+1),INDEX('Commission Data — Presales'!$C$7:$C$205,A28-7+1)),"")</f>
        <v/>
      </c>
      <c r="C28" s="199" t="str">
        <f>IF(A28&lt;&gt;"",IF(OR(N28="S",N28="M",N28="G",N28="D"),INDEX('Commission Data — Sales'!$D$7:$D$205,A28-7+1),INDEX('Commission Data — Presales'!$D$7:$D$205,A28-7+1)),"")</f>
        <v/>
      </c>
      <c r="D28" s="199" t="str">
        <f>IF(A28&lt;&gt;"",IF(OR(N28="S",N28="M",N28="G",N28="D"),INDEX('Commission Data — Sales'!$E$7:$E$205,A28-7+1),INDEX('Commission Data — Presales'!$E$7:$E$205,A28-7+1)),"")</f>
        <v/>
      </c>
      <c r="E28" s="199" t="str">
        <f>IF(A28&lt;&gt;"",IF(OR(N28="S",N28="M",N28="G",N28="D"),INDEX('Commission Data — Sales'!$G$7:$G$205,A28-7+1),INDEX('Commission Data — Presales'!$G$7:$G$205,A28-7+1)),"")</f>
        <v/>
      </c>
      <c r="F28" s="200" t="str">
        <f>IF(A28&lt;&gt;"",IF(OR(N28="S",N28="M",N28="G",N28="D"),INDEX('Commission Data — Sales'!$H$7:$H$205,A28-7+1),INDEX('Commission Data — Presales'!$H$7:$H$205,A28-7+1)),"")</f>
        <v/>
      </c>
      <c r="G28" s="201" t="str">
        <f>IF(A28&lt;&gt;"",IF(OR(N28="S",N28="M",N28="G",N28="D"),INDEX('Commission Data — Sales'!$N$7:$N$205,A28-7+1),"Presales"),"")</f>
        <v/>
      </c>
      <c r="H28" s="202" t="str">
        <f>IF(A28&lt;&gt;"",IF(OR(N28="S",N28="M",N28="G",N28="D"),INDEX('Commission Data — Sales'!$L$7:$L$205,A28-7+1),INDEX('Commission Data — Presales'!$L$7:$L$205,A28-7+1)),"")</f>
        <v/>
      </c>
      <c r="I28" s="203">
        <f>IF(A28&lt;&gt;"",IF(OR(N28="S",N28="M",N28="G",N28="D"),INDEX('Commission Data — Sales'!$M$7:$M$205,A28-7+1),INDEX('Commission Data — Presales'!$M$7:$M$205,A28-7+1)),0)</f>
        <v>0</v>
      </c>
      <c r="J28" s="204" t="str">
        <f>IF(A28&lt;&gt;"",IF(N28="M",Config!$C$22,IF(N28="G",Config!$C$23,IF(N28="D",Config!$C$24,IF(N28="S",IFERROR(IF(INDEX('Commission Data — Sales'!$O$7:$O$205,A28-7+1)=$D$2,INDEX('Commission Data — Sales'!$Q$7:$Q$205,A28-7+1)*INDEX('Commission Data — Sales'!$P$7:$P$205,A28-7+1),IF(INDEX('Commission Data — Sales'!$S$7:$S$205,A28-7+1)=$D$2,INDEX('Commission Data — Sales'!$U$7:$U$205,A28-7+1)*INDEX('Commission Data — Sales'!$T$7:$T$205,A28-7+1),INDEX('Commission Data — Sales'!$Y$7:$Y$205,A28-7+1)*INDEX('Commission Data — Sales'!$X$7:$X$205,A28-7+1))),0),IFERROR(IF(INDEX('Commission Data — Presales'!$N$7:$N$205,A28-7+1)=$D$2,Config!$C$25*INDEX('Commission Data — Presales'!$O$7:$O$205,A28-7+1),IF(INDEX('Commission Data — Presales'!$Q$7:$Q$205,A28-7+1)=$D$2,Config!$C$25*INDEX('Commission Data — Presales'!$R$7:$R$205,A28-7+1),Config!$C$25*INDEX('Commission Data — Presales'!$U$7:$U$205,A28-7+1))),0))))),"")</f>
        <v/>
      </c>
      <c r="K28" s="205" t="str">
        <f>IF(A28&lt;&gt;"",IF(N28="M",IFERROR(INDEX('Commission Data — Sales'!$AB$7:$AB$205,A28-7+1),0),IF(N28="G",IFERROR(INDEX('Commission Data — Sales'!$AD$7:$AD$205,A28-7+1),0),IF(N28="D",IFERROR(INDEX('Commission Data — Sales'!$AF$7:$AF$205,A28-7+1),0),IF(N28="S",IFERROR(IF(INDEX('Commission Data — Sales'!$O$7:$O$205,A28-7+1)=$D$2,INDEX('Commission Data — Sales'!$R$7:$R$205,A28-7+1),0)+IF(INDEX('Commission Data — Sales'!$S$7:$S$205,A28-7+1)=$D$2,INDEX('Commission Data — Sales'!$V$7:$V$205,A28-7+1),0)+IF(INDEX('Commission Data — Sales'!$W$7:$W$205,A28-7+1)=$D$2,INDEX('Commission Data — Sales'!$Z$7:$Z$205,A28-7+1),0),0),IFERROR(IF(INDEX('Commission Data — Presales'!$N$7:$N$205,A28-7+1)=$D$2,INDEX('Commission Data — Presales'!$P$7:$P$205,A28-7+1),0)+IF(INDEX('Commission Data — Presales'!$Q$7:$Q$205,A28-7+1)=$D$2,INDEX('Commission Data — Presales'!$S$7:$S$205,A28-7+1),0)+IF(INDEX('Commission Data — Presales'!$T$7:$T$205,A28-7+1)=$D$2,INDEX('Commission Data — Presales'!$V$7:$V$205,A28-7+1),0),0))))),"")</f>
        <v/>
      </c>
      <c r="L28" s="163" t="str">
        <f>IF(A28&lt;&gt;"",IF(N28="M",IFERROR(INDEX('Commission Data — Sales'!$AB$7:$AB$205,A28-7+1),0),IF(N28="G",IFERROR(INDEX('Commission Data — Sales'!$AD$7:$AD$205,A28-7+1),0),IF(N28="D",IFERROR(INDEX('Commission Data — Sales'!$AF$7:$AF$205,A28-7+1),0),IF(N28="S",IFERROR(IF(INDEX('Commission Data — Sales'!$O$7:$O$205,A28-7+1)=$D$2,INDEX('Commission Data — Sales'!$AQ$7:$AQ$205,A28-7+1),0)+IF(INDEX('Commission Data — Sales'!$S$7:$S$205,A28-7+1)=$D$2,INDEX('Commission Data — Sales'!$AR$7:$AR$205,A28-7+1),0)+IF(INDEX('Commission Data — Sales'!$W$7:$W$205,A28-7+1)=$D$2,INDEX('Commission Data — Sales'!$AS$7:$AS$205,A28-7+1),0),0),IFERROR(IF(INDEX('Commission Data — Presales'!$N$7:$N$205,A28-7+1)=$D$2,INDEX('Commission Data — Presales'!$P$7:$P$205,A28-7+1),0)+IF(INDEX('Commission Data — Presales'!$Q$7:$Q$205,A28-7+1)=$D$2,INDEX('Commission Data — Presales'!$S$7:$S$205,A28-7+1),0)+IF(INDEX('Commission Data — Presales'!$T$7:$T$205,A28-7+1)=$D$2,INDEX('Commission Data — Presales'!$V$7:$V$205,A28-7+1),0),0))))),"")</f>
        <v/>
      </c>
      <c r="M28" s="206" t="str">
        <f>IF(A28&lt;&gt;"",IF(N28="M","PM — Umbrella Contract | rate: "&amp;TEXT(Config!$C$22,"0.0%"),IF(N28="G","Manager commission (0.7%)",IF(N28="D","Director commission (0.3%)",IF(N28="S",IFERROR(IF(INDEX('Commission Data — Sales'!$N$7:$N$205,A28-7+1)="Umbrella Contract","Umbrella Contract — your rate: "&amp;TEXT(Config!$C$21,"0.0%")&amp;IF(INDEX('Commission Data — Sales'!$AA$7:$AA$205,A28-7+1)&lt;&gt;""," | PM: "&amp;INDEX('Commission Data — Sales'!$AA$7:$AA$205,A28-7+1)&amp;" ("&amp;TEXT(Config!$C$22,"0.0%")&amp;")",""),IF(INDEX('Commission Data — Sales'!$O$7:$O$205,A28-7+1)=$D$2,IF(AND(INDEX('Commission Data — Sales'!$S$7:$S$205,A28-7+1)="",,INDEX('Commission Data — Sales'!$W$7:$W$205,A28-7+1)=""),"Sole PIC (100%)","Shared — your share: "&amp;TEXT(INDEX('Commission Data — Sales'!$P$7:$P$205,A28-7+1),"0%")),IF(INDEX('Commission Data — Sales'!$S$7:$S$205,A28-7+1)=$D$2,"Shared — your share: "&amp;TEXT(INDEX('Commission Data — Sales'!$T$7:$T$205,A28-7+1),"0%"),"Shared — your share: "&amp;TEXT(INDEX('Commission Data — Sales'!$X$7:$X$205,A28-7+1),"0%")))),""),IFERROR(IF(INDEX('Commission Data — Presales'!$N$7:$N$205,A28-7+1)=$D$2,IF(AND(INDEX('Commission Data — Presales'!$Q$7:$Q$205,A28-7+1)="",INDEX('Commission Data — Presales'!$T$7:$T$205,A28-7+1)=""),"Sole Presales (100%)","Shared — your share: "&amp;TEXT(INDEX('Commission Data — Presales'!$O$7:$O$205,A28-7+1),"0%")),IF(INDEX('Commission Data — Presales'!$Q$7:$Q$205,A28-7+1)=$D$2,"Shared — your share: "&amp;TEXT(INDEX('Commission Data — Presales'!$R$7:$R$205,A28-7+1),"0%"),"Shared — your share: "&amp;TEXT(INDEX('Commission Data — Presales'!$U$7:$U$205,A28-7+1),"0%"))),""))))),"")</f>
        <v/>
      </c>
      <c r="N28" t="str">
        <f>IFERROR(IF(INDEX(O4:O258,MATCH($D$2,O4:O258,0)+23)=$D$2,INDEX(P4:P258,MATCH($D$2,O4:O258,0)+23),""),"")</f>
        <v/>
      </c>
      <c r="O28" t="s">
        <v>168</v>
      </c>
      <c r="P28" t="s">
        <v>311</v>
      </c>
      <c r="Q28">
        <v>47</v>
      </c>
      <c r="R28" t="s">
        <v>139</v>
      </c>
    </row>
    <row r="29" spans="1:18" ht="18" customHeight="1" x14ac:dyDescent="0.45">
      <c r="A29" s="83" t="str">
        <f>IFERROR(IF(INDEX(O4:O258,MATCH($D$2,O4:O258,0)+24)=$D$2,INDEX(Q4:Q258,MATCH($D$2,O4:O258,0)+24),""),"")</f>
        <v/>
      </c>
      <c r="B29" s="191" t="str">
        <f>IF(A29&lt;&gt;"",IF(OR(N29="S",N29="M",N29="G",N29="D"),INDEX('Commission Data — Sales'!$C$7:$C$205,A29-7+1),INDEX('Commission Data — Presales'!$C$7:$C$205,A29-7+1)),"")</f>
        <v/>
      </c>
      <c r="C29" s="191" t="str">
        <f>IF(A29&lt;&gt;"",IF(OR(N29="S",N29="M",N29="G",N29="D"),INDEX('Commission Data — Sales'!$D$7:$D$205,A29-7+1),INDEX('Commission Data — Presales'!$D$7:$D$205,A29-7+1)),"")</f>
        <v/>
      </c>
      <c r="D29" s="191" t="str">
        <f>IF(A29&lt;&gt;"",IF(OR(N29="S",N29="M",N29="G",N29="D"),INDEX('Commission Data — Sales'!$E$7:$E$205,A29-7+1),INDEX('Commission Data — Presales'!$E$7:$E$205,A29-7+1)),"")</f>
        <v/>
      </c>
      <c r="E29" s="191" t="str">
        <f>IF(A29&lt;&gt;"",IF(OR(N29="S",N29="M",N29="G",N29="D"),INDEX('Commission Data — Sales'!$G$7:$G$205,A29-7+1),INDEX('Commission Data — Presales'!$G$7:$G$205,A29-7+1)),"")</f>
        <v/>
      </c>
      <c r="F29" s="192" t="str">
        <f>IF(A29&lt;&gt;"",IF(OR(N29="S",N29="M",N29="G",N29="D"),INDEX('Commission Data — Sales'!$H$7:$H$205,A29-7+1),INDEX('Commission Data — Presales'!$H$7:$H$205,A29-7+1)),"")</f>
        <v/>
      </c>
      <c r="G29" s="193" t="str">
        <f>IF(A29&lt;&gt;"",IF(OR(N29="S",N29="M",N29="G",N29="D"),INDEX('Commission Data — Sales'!$N$7:$N$205,A29-7+1),"Presales"),"")</f>
        <v/>
      </c>
      <c r="H29" s="194" t="str">
        <f>IF(A29&lt;&gt;"",IF(OR(N29="S",N29="M",N29="G",N29="D"),INDEX('Commission Data — Sales'!$L$7:$L$205,A29-7+1),INDEX('Commission Data — Presales'!$L$7:$L$205,A29-7+1)),"")</f>
        <v/>
      </c>
      <c r="I29" s="195">
        <f>IF(A29&lt;&gt;"",IF(OR(N29="S",N29="M",N29="G",N29="D"),INDEX('Commission Data — Sales'!$M$7:$M$205,A29-7+1),INDEX('Commission Data — Presales'!$M$7:$M$205,A29-7+1)),0)</f>
        <v>0</v>
      </c>
      <c r="J29" s="196" t="str">
        <f>IF(A29&lt;&gt;"",IF(N29="M",Config!$C$22,IF(N29="G",Config!$C$23,IF(N29="D",Config!$C$24,IF(N29="S",IFERROR(IF(INDEX('Commission Data — Sales'!$O$7:$O$205,A29-7+1)=$D$2,INDEX('Commission Data — Sales'!$Q$7:$Q$205,A29-7+1)*INDEX('Commission Data — Sales'!$P$7:$P$205,A29-7+1),IF(INDEX('Commission Data — Sales'!$S$7:$S$205,A29-7+1)=$D$2,INDEX('Commission Data — Sales'!$U$7:$U$205,A29-7+1)*INDEX('Commission Data — Sales'!$T$7:$T$205,A29-7+1),INDEX('Commission Data — Sales'!$Y$7:$Y$205,A29-7+1)*INDEX('Commission Data — Sales'!$X$7:$X$205,A29-7+1))),0),IFERROR(IF(INDEX('Commission Data — Presales'!$N$7:$N$205,A29-7+1)=$D$2,Config!$C$25*INDEX('Commission Data — Presales'!$O$7:$O$205,A29-7+1),IF(INDEX('Commission Data — Presales'!$Q$7:$Q$205,A29-7+1)=$D$2,Config!$C$25*INDEX('Commission Data — Presales'!$R$7:$R$205,A29-7+1),Config!$C$25*INDEX('Commission Data — Presales'!$U$7:$U$205,A29-7+1))),0))))),"")</f>
        <v/>
      </c>
      <c r="K29" s="197" t="str">
        <f>IF(A29&lt;&gt;"",IF(N29="M",IFERROR(INDEX('Commission Data — Sales'!$AB$7:$AB$205,A29-7+1),0),IF(N29="G",IFERROR(INDEX('Commission Data — Sales'!$AD$7:$AD$205,A29-7+1),0),IF(N29="D",IFERROR(INDEX('Commission Data — Sales'!$AF$7:$AF$205,A29-7+1),0),IF(N29="S",IFERROR(IF(INDEX('Commission Data — Sales'!$O$7:$O$205,A29-7+1)=$D$2,INDEX('Commission Data — Sales'!$R$7:$R$205,A29-7+1),0)+IF(INDEX('Commission Data — Sales'!$S$7:$S$205,A29-7+1)=$D$2,INDEX('Commission Data — Sales'!$V$7:$V$205,A29-7+1),0)+IF(INDEX('Commission Data — Sales'!$W$7:$W$205,A29-7+1)=$D$2,INDEX('Commission Data — Sales'!$Z$7:$Z$205,A29-7+1),0),0),IFERROR(IF(INDEX('Commission Data — Presales'!$N$7:$N$205,A29-7+1)=$D$2,INDEX('Commission Data — Presales'!$P$7:$P$205,A29-7+1),0)+IF(INDEX('Commission Data — Presales'!$Q$7:$Q$205,A29-7+1)=$D$2,INDEX('Commission Data — Presales'!$S$7:$S$205,A29-7+1),0)+IF(INDEX('Commission Data — Presales'!$T$7:$T$205,A29-7+1)=$D$2,INDEX('Commission Data — Presales'!$V$7:$V$205,A29-7+1),0),0))))),"")</f>
        <v/>
      </c>
      <c r="L29" s="155" t="str">
        <f>IF(A29&lt;&gt;"",IF(N29="M",IFERROR(INDEX('Commission Data — Sales'!$AB$7:$AB$205,A29-7+1),0),IF(N29="G",IFERROR(INDEX('Commission Data — Sales'!$AD$7:$AD$205,A29-7+1),0),IF(N29="D",IFERROR(INDEX('Commission Data — Sales'!$AF$7:$AF$205,A29-7+1),0),IF(N29="S",IFERROR(IF(INDEX('Commission Data — Sales'!$O$7:$O$205,A29-7+1)=$D$2,INDEX('Commission Data — Sales'!$AQ$7:$AQ$205,A29-7+1),0)+IF(INDEX('Commission Data — Sales'!$S$7:$S$205,A29-7+1)=$D$2,INDEX('Commission Data — Sales'!$AR$7:$AR$205,A29-7+1),0)+IF(INDEX('Commission Data — Sales'!$W$7:$W$205,A29-7+1)=$D$2,INDEX('Commission Data — Sales'!$AS$7:$AS$205,A29-7+1),0),0),IFERROR(IF(INDEX('Commission Data — Presales'!$N$7:$N$205,A29-7+1)=$D$2,INDEX('Commission Data — Presales'!$P$7:$P$205,A29-7+1),0)+IF(INDEX('Commission Data — Presales'!$Q$7:$Q$205,A29-7+1)=$D$2,INDEX('Commission Data — Presales'!$S$7:$S$205,A29-7+1),0)+IF(INDEX('Commission Data — Presales'!$T$7:$T$205,A29-7+1)=$D$2,INDEX('Commission Data — Presales'!$V$7:$V$205,A29-7+1),0),0))))),"")</f>
        <v/>
      </c>
      <c r="M29" s="198" t="str">
        <f>IF(A29&lt;&gt;"",IF(N29="M","PM — Umbrella Contract | rate: "&amp;TEXT(Config!$C$22,"0.0%"),IF(N29="G","Manager commission (0.7%)",IF(N29="D","Director commission (0.3%)",IF(N29="S",IFERROR(IF(INDEX('Commission Data — Sales'!$N$7:$N$205,A29-7+1)="Umbrella Contract","Umbrella Contract — your rate: "&amp;TEXT(Config!$C$21,"0.0%")&amp;IF(INDEX('Commission Data — Sales'!$AA$7:$AA$205,A29-7+1)&lt;&gt;""," | PM: "&amp;INDEX('Commission Data — Sales'!$AA$7:$AA$205,A29-7+1)&amp;" ("&amp;TEXT(Config!$C$22,"0.0%")&amp;")",""),IF(INDEX('Commission Data — Sales'!$O$7:$O$205,A29-7+1)=$D$2,IF(AND(INDEX('Commission Data — Sales'!$S$7:$S$205,A29-7+1)="",,INDEX('Commission Data — Sales'!$W$7:$W$205,A29-7+1)=""),"Sole PIC (100%)","Shared — your share: "&amp;TEXT(INDEX('Commission Data — Sales'!$P$7:$P$205,A29-7+1),"0%")),IF(INDEX('Commission Data — Sales'!$S$7:$S$205,A29-7+1)=$D$2,"Shared — your share: "&amp;TEXT(INDEX('Commission Data — Sales'!$T$7:$T$205,A29-7+1),"0%"),"Shared — your share: "&amp;TEXT(INDEX('Commission Data — Sales'!$X$7:$X$205,A29-7+1),"0%")))),""),IFERROR(IF(INDEX('Commission Data — Presales'!$N$7:$N$205,A29-7+1)=$D$2,IF(AND(INDEX('Commission Data — Presales'!$Q$7:$Q$205,A29-7+1)="",INDEX('Commission Data — Presales'!$T$7:$T$205,A29-7+1)=""),"Sole Presales (100%)","Shared — your share: "&amp;TEXT(INDEX('Commission Data — Presales'!$O$7:$O$205,A29-7+1),"0%")),IF(INDEX('Commission Data — Presales'!$Q$7:$Q$205,A29-7+1)=$D$2,"Shared — your share: "&amp;TEXT(INDEX('Commission Data — Presales'!$R$7:$R$205,A29-7+1),"0%"),"Shared — your share: "&amp;TEXT(INDEX('Commission Data — Presales'!$U$7:$U$205,A29-7+1),"0%"))),""))))),"")</f>
        <v/>
      </c>
      <c r="N29" t="str">
        <f>IFERROR(IF(INDEX(O4:O258,MATCH($D$2,O4:O258,0)+24)=$D$2,INDEX(P4:P258,MATCH($D$2,O4:O258,0)+24),""),"")</f>
        <v/>
      </c>
      <c r="O29" t="s">
        <v>168</v>
      </c>
      <c r="P29" t="s">
        <v>311</v>
      </c>
      <c r="Q29">
        <v>48</v>
      </c>
    </row>
    <row r="30" spans="1:18" ht="18" customHeight="1" x14ac:dyDescent="0.45">
      <c r="A30" s="83" t="str">
        <f>IFERROR(IF(INDEX(O4:O258,MATCH($D$2,O4:O258,0)+25)=$D$2,INDEX(Q4:Q258,MATCH($D$2,O4:O258,0)+25),""),"")</f>
        <v/>
      </c>
      <c r="B30" s="199" t="str">
        <f>IF(A30&lt;&gt;"",IF(OR(N30="S",N30="M",N30="G",N30="D"),INDEX('Commission Data — Sales'!$C$7:$C$205,A30-7+1),INDEX('Commission Data — Presales'!$C$7:$C$205,A30-7+1)),"")</f>
        <v/>
      </c>
      <c r="C30" s="199" t="str">
        <f>IF(A30&lt;&gt;"",IF(OR(N30="S",N30="M",N30="G",N30="D"),INDEX('Commission Data — Sales'!$D$7:$D$205,A30-7+1),INDEX('Commission Data — Presales'!$D$7:$D$205,A30-7+1)),"")</f>
        <v/>
      </c>
      <c r="D30" s="199" t="str">
        <f>IF(A30&lt;&gt;"",IF(OR(N30="S",N30="M",N30="G",N30="D"),INDEX('Commission Data — Sales'!$E$7:$E$205,A30-7+1),INDEX('Commission Data — Presales'!$E$7:$E$205,A30-7+1)),"")</f>
        <v/>
      </c>
      <c r="E30" s="199" t="str">
        <f>IF(A30&lt;&gt;"",IF(OR(N30="S",N30="M",N30="G",N30="D"),INDEX('Commission Data — Sales'!$G$7:$G$205,A30-7+1),INDEX('Commission Data — Presales'!$G$7:$G$205,A30-7+1)),"")</f>
        <v/>
      </c>
      <c r="F30" s="200" t="str">
        <f>IF(A30&lt;&gt;"",IF(OR(N30="S",N30="M",N30="G",N30="D"),INDEX('Commission Data — Sales'!$H$7:$H$205,A30-7+1),INDEX('Commission Data — Presales'!$H$7:$H$205,A30-7+1)),"")</f>
        <v/>
      </c>
      <c r="G30" s="201" t="str">
        <f>IF(A30&lt;&gt;"",IF(OR(N30="S",N30="M",N30="G",N30="D"),INDEX('Commission Data — Sales'!$N$7:$N$205,A30-7+1),"Presales"),"")</f>
        <v/>
      </c>
      <c r="H30" s="202" t="str">
        <f>IF(A30&lt;&gt;"",IF(OR(N30="S",N30="M",N30="G",N30="D"),INDEX('Commission Data — Sales'!$L$7:$L$205,A30-7+1),INDEX('Commission Data — Presales'!$L$7:$L$205,A30-7+1)),"")</f>
        <v/>
      </c>
      <c r="I30" s="203">
        <f>IF(A30&lt;&gt;"",IF(OR(N30="S",N30="M",N30="G",N30="D"),INDEX('Commission Data — Sales'!$M$7:$M$205,A30-7+1),INDEX('Commission Data — Presales'!$M$7:$M$205,A30-7+1)),0)</f>
        <v>0</v>
      </c>
      <c r="J30" s="204" t="str">
        <f>IF(A30&lt;&gt;"",IF(N30="M",Config!$C$22,IF(N30="G",Config!$C$23,IF(N30="D",Config!$C$24,IF(N30="S",IFERROR(IF(INDEX('Commission Data — Sales'!$O$7:$O$205,A30-7+1)=$D$2,INDEX('Commission Data — Sales'!$Q$7:$Q$205,A30-7+1)*INDEX('Commission Data — Sales'!$P$7:$P$205,A30-7+1),IF(INDEX('Commission Data — Sales'!$S$7:$S$205,A30-7+1)=$D$2,INDEX('Commission Data — Sales'!$U$7:$U$205,A30-7+1)*INDEX('Commission Data — Sales'!$T$7:$T$205,A30-7+1),INDEX('Commission Data — Sales'!$Y$7:$Y$205,A30-7+1)*INDEX('Commission Data — Sales'!$X$7:$X$205,A30-7+1))),0),IFERROR(IF(INDEX('Commission Data — Presales'!$N$7:$N$205,A30-7+1)=$D$2,Config!$C$25*INDEX('Commission Data — Presales'!$O$7:$O$205,A30-7+1),IF(INDEX('Commission Data — Presales'!$Q$7:$Q$205,A30-7+1)=$D$2,Config!$C$25*INDEX('Commission Data — Presales'!$R$7:$R$205,A30-7+1),Config!$C$25*INDEX('Commission Data — Presales'!$U$7:$U$205,A30-7+1))),0))))),"")</f>
        <v/>
      </c>
      <c r="K30" s="205" t="str">
        <f>IF(A30&lt;&gt;"",IF(N30="M",IFERROR(INDEX('Commission Data — Sales'!$AB$7:$AB$205,A30-7+1),0),IF(N30="G",IFERROR(INDEX('Commission Data — Sales'!$AD$7:$AD$205,A30-7+1),0),IF(N30="D",IFERROR(INDEX('Commission Data — Sales'!$AF$7:$AF$205,A30-7+1),0),IF(N30="S",IFERROR(IF(INDEX('Commission Data — Sales'!$O$7:$O$205,A30-7+1)=$D$2,INDEX('Commission Data — Sales'!$R$7:$R$205,A30-7+1),0)+IF(INDEX('Commission Data — Sales'!$S$7:$S$205,A30-7+1)=$D$2,INDEX('Commission Data — Sales'!$V$7:$V$205,A30-7+1),0)+IF(INDEX('Commission Data — Sales'!$W$7:$W$205,A30-7+1)=$D$2,INDEX('Commission Data — Sales'!$Z$7:$Z$205,A30-7+1),0),0),IFERROR(IF(INDEX('Commission Data — Presales'!$N$7:$N$205,A30-7+1)=$D$2,INDEX('Commission Data — Presales'!$P$7:$P$205,A30-7+1),0)+IF(INDEX('Commission Data — Presales'!$Q$7:$Q$205,A30-7+1)=$D$2,INDEX('Commission Data — Presales'!$S$7:$S$205,A30-7+1),0)+IF(INDEX('Commission Data — Presales'!$T$7:$T$205,A30-7+1)=$D$2,INDEX('Commission Data — Presales'!$V$7:$V$205,A30-7+1),0),0))))),"")</f>
        <v/>
      </c>
      <c r="L30" s="163" t="str">
        <f>IF(A30&lt;&gt;"",IF(N30="M",IFERROR(INDEX('Commission Data — Sales'!$AB$7:$AB$205,A30-7+1),0),IF(N30="G",IFERROR(INDEX('Commission Data — Sales'!$AD$7:$AD$205,A30-7+1),0),IF(N30="D",IFERROR(INDEX('Commission Data — Sales'!$AF$7:$AF$205,A30-7+1),0),IF(N30="S",IFERROR(IF(INDEX('Commission Data — Sales'!$O$7:$O$205,A30-7+1)=$D$2,INDEX('Commission Data — Sales'!$AQ$7:$AQ$205,A30-7+1),0)+IF(INDEX('Commission Data — Sales'!$S$7:$S$205,A30-7+1)=$D$2,INDEX('Commission Data — Sales'!$AR$7:$AR$205,A30-7+1),0)+IF(INDEX('Commission Data — Sales'!$W$7:$W$205,A30-7+1)=$D$2,INDEX('Commission Data — Sales'!$AS$7:$AS$205,A30-7+1),0),0),IFERROR(IF(INDEX('Commission Data — Presales'!$N$7:$N$205,A30-7+1)=$D$2,INDEX('Commission Data — Presales'!$P$7:$P$205,A30-7+1),0)+IF(INDEX('Commission Data — Presales'!$Q$7:$Q$205,A30-7+1)=$D$2,INDEX('Commission Data — Presales'!$S$7:$S$205,A30-7+1),0)+IF(INDEX('Commission Data — Presales'!$T$7:$T$205,A30-7+1)=$D$2,INDEX('Commission Data — Presales'!$V$7:$V$205,A30-7+1),0),0))))),"")</f>
        <v/>
      </c>
      <c r="M30" s="206" t="str">
        <f>IF(A30&lt;&gt;"",IF(N30="M","PM — Umbrella Contract | rate: "&amp;TEXT(Config!$C$22,"0.0%"),IF(N30="G","Manager commission (0.7%)",IF(N30="D","Director commission (0.3%)",IF(N30="S",IFERROR(IF(INDEX('Commission Data — Sales'!$N$7:$N$205,A30-7+1)="Umbrella Contract","Umbrella Contract — your rate: "&amp;TEXT(Config!$C$21,"0.0%")&amp;IF(INDEX('Commission Data — Sales'!$AA$7:$AA$205,A30-7+1)&lt;&gt;""," | PM: "&amp;INDEX('Commission Data — Sales'!$AA$7:$AA$205,A30-7+1)&amp;" ("&amp;TEXT(Config!$C$22,"0.0%")&amp;")",""),IF(INDEX('Commission Data — Sales'!$O$7:$O$205,A30-7+1)=$D$2,IF(AND(INDEX('Commission Data — Sales'!$S$7:$S$205,A30-7+1)="",,INDEX('Commission Data — Sales'!$W$7:$W$205,A30-7+1)=""),"Sole PIC (100%)","Shared — your share: "&amp;TEXT(INDEX('Commission Data — Sales'!$P$7:$P$205,A30-7+1),"0%")),IF(INDEX('Commission Data — Sales'!$S$7:$S$205,A30-7+1)=$D$2,"Shared — your share: "&amp;TEXT(INDEX('Commission Data — Sales'!$T$7:$T$205,A30-7+1),"0%"),"Shared — your share: "&amp;TEXT(INDEX('Commission Data — Sales'!$X$7:$X$205,A30-7+1),"0%")))),""),IFERROR(IF(INDEX('Commission Data — Presales'!$N$7:$N$205,A30-7+1)=$D$2,IF(AND(INDEX('Commission Data — Presales'!$Q$7:$Q$205,A30-7+1)="",INDEX('Commission Data — Presales'!$T$7:$T$205,A30-7+1)=""),"Sole Presales (100%)","Shared — your share: "&amp;TEXT(INDEX('Commission Data — Presales'!$O$7:$O$205,A30-7+1),"0%")),IF(INDEX('Commission Data — Presales'!$Q$7:$Q$205,A30-7+1)=$D$2,"Shared — your share: "&amp;TEXT(INDEX('Commission Data — Presales'!$R$7:$R$205,A30-7+1),"0%"),"Shared — your share: "&amp;TEXT(INDEX('Commission Data — Presales'!$U$7:$U$205,A30-7+1),"0%"))),""))))),"")</f>
        <v/>
      </c>
      <c r="N30" t="str">
        <f>IFERROR(IF(INDEX(O4:O258,MATCH($D$2,O4:O258,0)+25)=$D$2,INDEX(P4:P258,MATCH($D$2,O4:O258,0)+25),""),"")</f>
        <v/>
      </c>
      <c r="O30" t="s">
        <v>151</v>
      </c>
      <c r="P30" t="s">
        <v>312</v>
      </c>
      <c r="Q30">
        <v>20</v>
      </c>
    </row>
    <row r="31" spans="1:18" ht="18" customHeight="1" x14ac:dyDescent="0.45">
      <c r="A31" s="83" t="str">
        <f>IFERROR(IF(INDEX(O4:O258,MATCH($D$2,O4:O258,0)+26)=$D$2,INDEX(Q4:Q258,MATCH($D$2,O4:O258,0)+26),""),"")</f>
        <v/>
      </c>
      <c r="B31" s="191" t="str">
        <f>IF(A31&lt;&gt;"",IF(OR(N31="S",N31="M",N31="G",N31="D"),INDEX('Commission Data — Sales'!$C$7:$C$205,A31-7+1),INDEX('Commission Data — Presales'!$C$7:$C$205,A31-7+1)),"")</f>
        <v/>
      </c>
      <c r="C31" s="191" t="str">
        <f>IF(A31&lt;&gt;"",IF(OR(N31="S",N31="M",N31="G",N31="D"),INDEX('Commission Data — Sales'!$D$7:$D$205,A31-7+1),INDEX('Commission Data — Presales'!$D$7:$D$205,A31-7+1)),"")</f>
        <v/>
      </c>
      <c r="D31" s="191" t="str">
        <f>IF(A31&lt;&gt;"",IF(OR(N31="S",N31="M",N31="G",N31="D"),INDEX('Commission Data — Sales'!$E$7:$E$205,A31-7+1),INDEX('Commission Data — Presales'!$E$7:$E$205,A31-7+1)),"")</f>
        <v/>
      </c>
      <c r="E31" s="191" t="str">
        <f>IF(A31&lt;&gt;"",IF(OR(N31="S",N31="M",N31="G",N31="D"),INDEX('Commission Data — Sales'!$G$7:$G$205,A31-7+1),INDEX('Commission Data — Presales'!$G$7:$G$205,A31-7+1)),"")</f>
        <v/>
      </c>
      <c r="F31" s="192" t="str">
        <f>IF(A31&lt;&gt;"",IF(OR(N31="S",N31="M",N31="G",N31="D"),INDEX('Commission Data — Sales'!$H$7:$H$205,A31-7+1),INDEX('Commission Data — Presales'!$H$7:$H$205,A31-7+1)),"")</f>
        <v/>
      </c>
      <c r="G31" s="193" t="str">
        <f>IF(A31&lt;&gt;"",IF(OR(N31="S",N31="M",N31="G",N31="D"),INDEX('Commission Data — Sales'!$N$7:$N$205,A31-7+1),"Presales"),"")</f>
        <v/>
      </c>
      <c r="H31" s="194" t="str">
        <f>IF(A31&lt;&gt;"",IF(OR(N31="S",N31="M",N31="G",N31="D"),INDEX('Commission Data — Sales'!$L$7:$L$205,A31-7+1),INDEX('Commission Data — Presales'!$L$7:$L$205,A31-7+1)),"")</f>
        <v/>
      </c>
      <c r="I31" s="195">
        <f>IF(A31&lt;&gt;"",IF(OR(N31="S",N31="M",N31="G",N31="D"),INDEX('Commission Data — Sales'!$M$7:$M$205,A31-7+1),INDEX('Commission Data — Presales'!$M$7:$M$205,A31-7+1)),0)</f>
        <v>0</v>
      </c>
      <c r="J31" s="196" t="str">
        <f>IF(A31&lt;&gt;"",IF(N31="M",Config!$C$22,IF(N31="G",Config!$C$23,IF(N31="D",Config!$C$24,IF(N31="S",IFERROR(IF(INDEX('Commission Data — Sales'!$O$7:$O$205,A31-7+1)=$D$2,INDEX('Commission Data — Sales'!$Q$7:$Q$205,A31-7+1)*INDEX('Commission Data — Sales'!$P$7:$P$205,A31-7+1),IF(INDEX('Commission Data — Sales'!$S$7:$S$205,A31-7+1)=$D$2,INDEX('Commission Data — Sales'!$U$7:$U$205,A31-7+1)*INDEX('Commission Data — Sales'!$T$7:$T$205,A31-7+1),INDEX('Commission Data — Sales'!$Y$7:$Y$205,A31-7+1)*INDEX('Commission Data — Sales'!$X$7:$X$205,A31-7+1))),0),IFERROR(IF(INDEX('Commission Data — Presales'!$N$7:$N$205,A31-7+1)=$D$2,Config!$C$25*INDEX('Commission Data — Presales'!$O$7:$O$205,A31-7+1),IF(INDEX('Commission Data — Presales'!$Q$7:$Q$205,A31-7+1)=$D$2,Config!$C$25*INDEX('Commission Data — Presales'!$R$7:$R$205,A31-7+1),Config!$C$25*INDEX('Commission Data — Presales'!$U$7:$U$205,A31-7+1))),0))))),"")</f>
        <v/>
      </c>
      <c r="K31" s="197" t="str">
        <f>IF(A31&lt;&gt;"",IF(N31="M",IFERROR(INDEX('Commission Data — Sales'!$AB$7:$AB$205,A31-7+1),0),IF(N31="G",IFERROR(INDEX('Commission Data — Sales'!$AD$7:$AD$205,A31-7+1),0),IF(N31="D",IFERROR(INDEX('Commission Data — Sales'!$AF$7:$AF$205,A31-7+1),0),IF(N31="S",IFERROR(IF(INDEX('Commission Data — Sales'!$O$7:$O$205,A31-7+1)=$D$2,INDEX('Commission Data — Sales'!$R$7:$R$205,A31-7+1),0)+IF(INDEX('Commission Data — Sales'!$S$7:$S$205,A31-7+1)=$D$2,INDEX('Commission Data — Sales'!$V$7:$V$205,A31-7+1),0)+IF(INDEX('Commission Data — Sales'!$W$7:$W$205,A31-7+1)=$D$2,INDEX('Commission Data — Sales'!$Z$7:$Z$205,A31-7+1),0),0),IFERROR(IF(INDEX('Commission Data — Presales'!$N$7:$N$205,A31-7+1)=$D$2,INDEX('Commission Data — Presales'!$P$7:$P$205,A31-7+1),0)+IF(INDEX('Commission Data — Presales'!$Q$7:$Q$205,A31-7+1)=$D$2,INDEX('Commission Data — Presales'!$S$7:$S$205,A31-7+1),0)+IF(INDEX('Commission Data — Presales'!$T$7:$T$205,A31-7+1)=$D$2,INDEX('Commission Data — Presales'!$V$7:$V$205,A31-7+1),0),0))))),"")</f>
        <v/>
      </c>
      <c r="L31" s="155" t="str">
        <f>IF(A31&lt;&gt;"",IF(N31="M",IFERROR(INDEX('Commission Data — Sales'!$AB$7:$AB$205,A31-7+1),0),IF(N31="G",IFERROR(INDEX('Commission Data — Sales'!$AD$7:$AD$205,A31-7+1),0),IF(N31="D",IFERROR(INDEX('Commission Data — Sales'!$AF$7:$AF$205,A31-7+1),0),IF(N31="S",IFERROR(IF(INDEX('Commission Data — Sales'!$O$7:$O$205,A31-7+1)=$D$2,INDEX('Commission Data — Sales'!$AQ$7:$AQ$205,A31-7+1),0)+IF(INDEX('Commission Data — Sales'!$S$7:$S$205,A31-7+1)=$D$2,INDEX('Commission Data — Sales'!$AR$7:$AR$205,A31-7+1),0)+IF(INDEX('Commission Data — Sales'!$W$7:$W$205,A31-7+1)=$D$2,INDEX('Commission Data — Sales'!$AS$7:$AS$205,A31-7+1),0),0),IFERROR(IF(INDEX('Commission Data — Presales'!$N$7:$N$205,A31-7+1)=$D$2,INDEX('Commission Data — Presales'!$P$7:$P$205,A31-7+1),0)+IF(INDEX('Commission Data — Presales'!$Q$7:$Q$205,A31-7+1)=$D$2,INDEX('Commission Data — Presales'!$S$7:$S$205,A31-7+1),0)+IF(INDEX('Commission Data — Presales'!$T$7:$T$205,A31-7+1)=$D$2,INDEX('Commission Data — Presales'!$V$7:$V$205,A31-7+1),0),0))))),"")</f>
        <v/>
      </c>
      <c r="M31" s="198" t="str">
        <f>IF(A31&lt;&gt;"",IF(N31="M","PM — Umbrella Contract | rate: "&amp;TEXT(Config!$C$22,"0.0%"),IF(N31="G","Manager commission (0.7%)",IF(N31="D","Director commission (0.3%)",IF(N31="S",IFERROR(IF(INDEX('Commission Data — Sales'!$N$7:$N$205,A31-7+1)="Umbrella Contract","Umbrella Contract — your rate: "&amp;TEXT(Config!$C$21,"0.0%")&amp;IF(INDEX('Commission Data — Sales'!$AA$7:$AA$205,A31-7+1)&lt;&gt;""," | PM: "&amp;INDEX('Commission Data — Sales'!$AA$7:$AA$205,A31-7+1)&amp;" ("&amp;TEXT(Config!$C$22,"0.0%")&amp;")",""),IF(INDEX('Commission Data — Sales'!$O$7:$O$205,A31-7+1)=$D$2,IF(AND(INDEX('Commission Data — Sales'!$S$7:$S$205,A31-7+1)="",,INDEX('Commission Data — Sales'!$W$7:$W$205,A31-7+1)=""),"Sole PIC (100%)","Shared — your share: "&amp;TEXT(INDEX('Commission Data — Sales'!$P$7:$P$205,A31-7+1),"0%")),IF(INDEX('Commission Data — Sales'!$S$7:$S$205,A31-7+1)=$D$2,"Shared — your share: "&amp;TEXT(INDEX('Commission Data — Sales'!$T$7:$T$205,A31-7+1),"0%"),"Shared — your share: "&amp;TEXT(INDEX('Commission Data — Sales'!$X$7:$X$205,A31-7+1),"0%")))),""),IFERROR(IF(INDEX('Commission Data — Presales'!$N$7:$N$205,A31-7+1)=$D$2,IF(AND(INDEX('Commission Data — Presales'!$Q$7:$Q$205,A31-7+1)="",INDEX('Commission Data — Presales'!$T$7:$T$205,A31-7+1)=""),"Sole Presales (100%)","Shared — your share: "&amp;TEXT(INDEX('Commission Data — Presales'!$O$7:$O$205,A31-7+1),"0%")),IF(INDEX('Commission Data — Presales'!$Q$7:$Q$205,A31-7+1)=$D$2,"Shared — your share: "&amp;TEXT(INDEX('Commission Data — Presales'!$R$7:$R$205,A31-7+1),"0%"),"Shared — your share: "&amp;TEXT(INDEX('Commission Data — Presales'!$U$7:$U$205,A31-7+1),"0%"))),""))))),"")</f>
        <v/>
      </c>
      <c r="N31" t="str">
        <f>IFERROR(IF(INDEX(O4:O258,MATCH($D$2,O4:O258,0)+26)=$D$2,INDEX(P4:P258,MATCH($D$2,O4:O258,0)+26),""),"")</f>
        <v/>
      </c>
      <c r="O31" t="s">
        <v>151</v>
      </c>
      <c r="P31" t="s">
        <v>312</v>
      </c>
      <c r="Q31">
        <v>22</v>
      </c>
    </row>
    <row r="32" spans="1:18" ht="18" customHeight="1" x14ac:dyDescent="0.45">
      <c r="A32" s="83" t="str">
        <f>IFERROR(IF(INDEX(O4:O258,MATCH($D$2,O4:O258,0)+27)=$D$2,INDEX(Q4:Q258,MATCH($D$2,O4:O258,0)+27),""),"")</f>
        <v/>
      </c>
      <c r="B32" s="199" t="str">
        <f>IF(A32&lt;&gt;"",IF(OR(N32="S",N32="M",N32="G",N32="D"),INDEX('Commission Data — Sales'!$C$7:$C$205,A32-7+1),INDEX('Commission Data — Presales'!$C$7:$C$205,A32-7+1)),"")</f>
        <v/>
      </c>
      <c r="C32" s="199" t="str">
        <f>IF(A32&lt;&gt;"",IF(OR(N32="S",N32="M",N32="G",N32="D"),INDEX('Commission Data — Sales'!$D$7:$D$205,A32-7+1),INDEX('Commission Data — Presales'!$D$7:$D$205,A32-7+1)),"")</f>
        <v/>
      </c>
      <c r="D32" s="199" t="str">
        <f>IF(A32&lt;&gt;"",IF(OR(N32="S",N32="M",N32="G",N32="D"),INDEX('Commission Data — Sales'!$E$7:$E$205,A32-7+1),INDEX('Commission Data — Presales'!$E$7:$E$205,A32-7+1)),"")</f>
        <v/>
      </c>
      <c r="E32" s="199" t="str">
        <f>IF(A32&lt;&gt;"",IF(OR(N32="S",N32="M",N32="G",N32="D"),INDEX('Commission Data — Sales'!$G$7:$G$205,A32-7+1),INDEX('Commission Data — Presales'!$G$7:$G$205,A32-7+1)),"")</f>
        <v/>
      </c>
      <c r="F32" s="200" t="str">
        <f>IF(A32&lt;&gt;"",IF(OR(N32="S",N32="M",N32="G",N32="D"),INDEX('Commission Data — Sales'!$H$7:$H$205,A32-7+1),INDEX('Commission Data — Presales'!$H$7:$H$205,A32-7+1)),"")</f>
        <v/>
      </c>
      <c r="G32" s="201" t="str">
        <f>IF(A32&lt;&gt;"",IF(OR(N32="S",N32="M",N32="G",N32="D"),INDEX('Commission Data — Sales'!$N$7:$N$205,A32-7+1),"Presales"),"")</f>
        <v/>
      </c>
      <c r="H32" s="202" t="str">
        <f>IF(A32&lt;&gt;"",IF(OR(N32="S",N32="M",N32="G",N32="D"),INDEX('Commission Data — Sales'!$L$7:$L$205,A32-7+1),INDEX('Commission Data — Presales'!$L$7:$L$205,A32-7+1)),"")</f>
        <v/>
      </c>
      <c r="I32" s="203">
        <f>IF(A32&lt;&gt;"",IF(OR(N32="S",N32="M",N32="G",N32="D"),INDEX('Commission Data — Sales'!$M$7:$M$205,A32-7+1),INDEX('Commission Data — Presales'!$M$7:$M$205,A32-7+1)),0)</f>
        <v>0</v>
      </c>
      <c r="J32" s="204" t="str">
        <f>IF(A32&lt;&gt;"",IF(N32="M",Config!$C$22,IF(N32="G",Config!$C$23,IF(N32="D",Config!$C$24,IF(N32="S",IFERROR(IF(INDEX('Commission Data — Sales'!$O$7:$O$205,A32-7+1)=$D$2,INDEX('Commission Data — Sales'!$Q$7:$Q$205,A32-7+1)*INDEX('Commission Data — Sales'!$P$7:$P$205,A32-7+1),IF(INDEX('Commission Data — Sales'!$S$7:$S$205,A32-7+1)=$D$2,INDEX('Commission Data — Sales'!$U$7:$U$205,A32-7+1)*INDEX('Commission Data — Sales'!$T$7:$T$205,A32-7+1),INDEX('Commission Data — Sales'!$Y$7:$Y$205,A32-7+1)*INDEX('Commission Data — Sales'!$X$7:$X$205,A32-7+1))),0),IFERROR(IF(INDEX('Commission Data — Presales'!$N$7:$N$205,A32-7+1)=$D$2,Config!$C$25*INDEX('Commission Data — Presales'!$O$7:$O$205,A32-7+1),IF(INDEX('Commission Data — Presales'!$Q$7:$Q$205,A32-7+1)=$D$2,Config!$C$25*INDEX('Commission Data — Presales'!$R$7:$R$205,A32-7+1),Config!$C$25*INDEX('Commission Data — Presales'!$U$7:$U$205,A32-7+1))),0))))),"")</f>
        <v/>
      </c>
      <c r="K32" s="205" t="str">
        <f>IF(A32&lt;&gt;"",IF(N32="M",IFERROR(INDEX('Commission Data — Sales'!$AB$7:$AB$205,A32-7+1),0),IF(N32="G",IFERROR(INDEX('Commission Data — Sales'!$AD$7:$AD$205,A32-7+1),0),IF(N32="D",IFERROR(INDEX('Commission Data — Sales'!$AF$7:$AF$205,A32-7+1),0),IF(N32="S",IFERROR(IF(INDEX('Commission Data — Sales'!$O$7:$O$205,A32-7+1)=$D$2,INDEX('Commission Data — Sales'!$R$7:$R$205,A32-7+1),0)+IF(INDEX('Commission Data — Sales'!$S$7:$S$205,A32-7+1)=$D$2,INDEX('Commission Data — Sales'!$V$7:$V$205,A32-7+1),0)+IF(INDEX('Commission Data — Sales'!$W$7:$W$205,A32-7+1)=$D$2,INDEX('Commission Data — Sales'!$Z$7:$Z$205,A32-7+1),0),0),IFERROR(IF(INDEX('Commission Data — Presales'!$N$7:$N$205,A32-7+1)=$D$2,INDEX('Commission Data — Presales'!$P$7:$P$205,A32-7+1),0)+IF(INDEX('Commission Data — Presales'!$Q$7:$Q$205,A32-7+1)=$D$2,INDEX('Commission Data — Presales'!$S$7:$S$205,A32-7+1),0)+IF(INDEX('Commission Data — Presales'!$T$7:$T$205,A32-7+1)=$D$2,INDEX('Commission Data — Presales'!$V$7:$V$205,A32-7+1),0),0))))),"")</f>
        <v/>
      </c>
      <c r="L32" s="163" t="str">
        <f>IF(A32&lt;&gt;"",IF(N32="M",IFERROR(INDEX('Commission Data — Sales'!$AB$7:$AB$205,A32-7+1),0),IF(N32="G",IFERROR(INDEX('Commission Data — Sales'!$AD$7:$AD$205,A32-7+1),0),IF(N32="D",IFERROR(INDEX('Commission Data — Sales'!$AF$7:$AF$205,A32-7+1),0),IF(N32="S",IFERROR(IF(INDEX('Commission Data — Sales'!$O$7:$O$205,A32-7+1)=$D$2,INDEX('Commission Data — Sales'!$AQ$7:$AQ$205,A32-7+1),0)+IF(INDEX('Commission Data — Sales'!$S$7:$S$205,A32-7+1)=$D$2,INDEX('Commission Data — Sales'!$AR$7:$AR$205,A32-7+1),0)+IF(INDEX('Commission Data — Sales'!$W$7:$W$205,A32-7+1)=$D$2,INDEX('Commission Data — Sales'!$AS$7:$AS$205,A32-7+1),0),0),IFERROR(IF(INDEX('Commission Data — Presales'!$N$7:$N$205,A32-7+1)=$D$2,INDEX('Commission Data — Presales'!$P$7:$P$205,A32-7+1),0)+IF(INDEX('Commission Data — Presales'!$Q$7:$Q$205,A32-7+1)=$D$2,INDEX('Commission Data — Presales'!$S$7:$S$205,A32-7+1),0)+IF(INDEX('Commission Data — Presales'!$T$7:$T$205,A32-7+1)=$D$2,INDEX('Commission Data — Presales'!$V$7:$V$205,A32-7+1),0),0))))),"")</f>
        <v/>
      </c>
      <c r="M32" s="206" t="str">
        <f>IF(A32&lt;&gt;"",IF(N32="M","PM — Umbrella Contract | rate: "&amp;TEXT(Config!$C$22,"0.0%"),IF(N32="G","Manager commission (0.7%)",IF(N32="D","Director commission (0.3%)",IF(N32="S",IFERROR(IF(INDEX('Commission Data — Sales'!$N$7:$N$205,A32-7+1)="Umbrella Contract","Umbrella Contract — your rate: "&amp;TEXT(Config!$C$21,"0.0%")&amp;IF(INDEX('Commission Data — Sales'!$AA$7:$AA$205,A32-7+1)&lt;&gt;""," | PM: "&amp;INDEX('Commission Data — Sales'!$AA$7:$AA$205,A32-7+1)&amp;" ("&amp;TEXT(Config!$C$22,"0.0%")&amp;")",""),IF(INDEX('Commission Data — Sales'!$O$7:$O$205,A32-7+1)=$D$2,IF(AND(INDEX('Commission Data — Sales'!$S$7:$S$205,A32-7+1)="",,INDEX('Commission Data — Sales'!$W$7:$W$205,A32-7+1)=""),"Sole PIC (100%)","Shared — your share: "&amp;TEXT(INDEX('Commission Data — Sales'!$P$7:$P$205,A32-7+1),"0%")),IF(INDEX('Commission Data — Sales'!$S$7:$S$205,A32-7+1)=$D$2,"Shared — your share: "&amp;TEXT(INDEX('Commission Data — Sales'!$T$7:$T$205,A32-7+1),"0%"),"Shared — your share: "&amp;TEXT(INDEX('Commission Data — Sales'!$X$7:$X$205,A32-7+1),"0%")))),""),IFERROR(IF(INDEX('Commission Data — Presales'!$N$7:$N$205,A32-7+1)=$D$2,IF(AND(INDEX('Commission Data — Presales'!$Q$7:$Q$205,A32-7+1)="",INDEX('Commission Data — Presales'!$T$7:$T$205,A32-7+1)=""),"Sole Presales (100%)","Shared — your share: "&amp;TEXT(INDEX('Commission Data — Presales'!$O$7:$O$205,A32-7+1),"0%")),IF(INDEX('Commission Data — Presales'!$Q$7:$Q$205,A32-7+1)=$D$2,"Shared — your share: "&amp;TEXT(INDEX('Commission Data — Presales'!$R$7:$R$205,A32-7+1),"0%"),"Shared — your share: "&amp;TEXT(INDEX('Commission Data — Presales'!$U$7:$U$205,A32-7+1),"0%"))),""))))),"")</f>
        <v/>
      </c>
      <c r="N32" t="str">
        <f>IFERROR(IF(INDEX(O4:O258,MATCH($D$2,O4:O258,0)+27)=$D$2,INDEX(P4:P258,MATCH($D$2,O4:O258,0)+27),""),"")</f>
        <v/>
      </c>
      <c r="O32" t="s">
        <v>151</v>
      </c>
      <c r="P32" t="s">
        <v>312</v>
      </c>
      <c r="Q32">
        <v>67</v>
      </c>
    </row>
    <row r="33" spans="1:17" ht="18" customHeight="1" x14ac:dyDescent="0.45">
      <c r="A33" s="83" t="str">
        <f>IFERROR(IF(INDEX(O4:O258,MATCH($D$2,O4:O258,0)+28)=$D$2,INDEX(Q4:Q258,MATCH($D$2,O4:O258,0)+28),""),"")</f>
        <v/>
      </c>
      <c r="B33" s="191" t="str">
        <f>IF(A33&lt;&gt;"",IF(OR(N33="S",N33="M",N33="G",N33="D"),INDEX('Commission Data — Sales'!$C$7:$C$205,A33-7+1),INDEX('Commission Data — Presales'!$C$7:$C$205,A33-7+1)),"")</f>
        <v/>
      </c>
      <c r="C33" s="191" t="str">
        <f>IF(A33&lt;&gt;"",IF(OR(N33="S",N33="M",N33="G",N33="D"),INDEX('Commission Data — Sales'!$D$7:$D$205,A33-7+1),INDEX('Commission Data — Presales'!$D$7:$D$205,A33-7+1)),"")</f>
        <v/>
      </c>
      <c r="D33" s="191" t="str">
        <f>IF(A33&lt;&gt;"",IF(OR(N33="S",N33="M",N33="G",N33="D"),INDEX('Commission Data — Sales'!$E$7:$E$205,A33-7+1),INDEX('Commission Data — Presales'!$E$7:$E$205,A33-7+1)),"")</f>
        <v/>
      </c>
      <c r="E33" s="191" t="str">
        <f>IF(A33&lt;&gt;"",IF(OR(N33="S",N33="M",N33="G",N33="D"),INDEX('Commission Data — Sales'!$G$7:$G$205,A33-7+1),INDEX('Commission Data — Presales'!$G$7:$G$205,A33-7+1)),"")</f>
        <v/>
      </c>
      <c r="F33" s="192" t="str">
        <f>IF(A33&lt;&gt;"",IF(OR(N33="S",N33="M",N33="G",N33="D"),INDEX('Commission Data — Sales'!$H$7:$H$205,A33-7+1),INDEX('Commission Data — Presales'!$H$7:$H$205,A33-7+1)),"")</f>
        <v/>
      </c>
      <c r="G33" s="193" t="str">
        <f>IF(A33&lt;&gt;"",IF(OR(N33="S",N33="M",N33="G",N33="D"),INDEX('Commission Data — Sales'!$N$7:$N$205,A33-7+1),"Presales"),"")</f>
        <v/>
      </c>
      <c r="H33" s="194" t="str">
        <f>IF(A33&lt;&gt;"",IF(OR(N33="S",N33="M",N33="G",N33="D"),INDEX('Commission Data — Sales'!$L$7:$L$205,A33-7+1),INDEX('Commission Data — Presales'!$L$7:$L$205,A33-7+1)),"")</f>
        <v/>
      </c>
      <c r="I33" s="195">
        <f>IF(A33&lt;&gt;"",IF(OR(N33="S",N33="M",N33="G",N33="D"),INDEX('Commission Data — Sales'!$M$7:$M$205,A33-7+1),INDEX('Commission Data — Presales'!$M$7:$M$205,A33-7+1)),0)</f>
        <v>0</v>
      </c>
      <c r="J33" s="196" t="str">
        <f>IF(A33&lt;&gt;"",IF(N33="M",Config!$C$22,IF(N33="G",Config!$C$23,IF(N33="D",Config!$C$24,IF(N33="S",IFERROR(IF(INDEX('Commission Data — Sales'!$O$7:$O$205,A33-7+1)=$D$2,INDEX('Commission Data — Sales'!$Q$7:$Q$205,A33-7+1)*INDEX('Commission Data — Sales'!$P$7:$P$205,A33-7+1),IF(INDEX('Commission Data — Sales'!$S$7:$S$205,A33-7+1)=$D$2,INDEX('Commission Data — Sales'!$U$7:$U$205,A33-7+1)*INDEX('Commission Data — Sales'!$T$7:$T$205,A33-7+1),INDEX('Commission Data — Sales'!$Y$7:$Y$205,A33-7+1)*INDEX('Commission Data — Sales'!$X$7:$X$205,A33-7+1))),0),IFERROR(IF(INDEX('Commission Data — Presales'!$N$7:$N$205,A33-7+1)=$D$2,Config!$C$25*INDEX('Commission Data — Presales'!$O$7:$O$205,A33-7+1),IF(INDEX('Commission Data — Presales'!$Q$7:$Q$205,A33-7+1)=$D$2,Config!$C$25*INDEX('Commission Data — Presales'!$R$7:$R$205,A33-7+1),Config!$C$25*INDEX('Commission Data — Presales'!$U$7:$U$205,A33-7+1))),0))))),"")</f>
        <v/>
      </c>
      <c r="K33" s="197" t="str">
        <f>IF(A33&lt;&gt;"",IF(N33="M",IFERROR(INDEX('Commission Data — Sales'!$AB$7:$AB$205,A33-7+1),0),IF(N33="G",IFERROR(INDEX('Commission Data — Sales'!$AD$7:$AD$205,A33-7+1),0),IF(N33="D",IFERROR(INDEX('Commission Data — Sales'!$AF$7:$AF$205,A33-7+1),0),IF(N33="S",IFERROR(IF(INDEX('Commission Data — Sales'!$O$7:$O$205,A33-7+1)=$D$2,INDEX('Commission Data — Sales'!$R$7:$R$205,A33-7+1),0)+IF(INDEX('Commission Data — Sales'!$S$7:$S$205,A33-7+1)=$D$2,INDEX('Commission Data — Sales'!$V$7:$V$205,A33-7+1),0)+IF(INDEX('Commission Data — Sales'!$W$7:$W$205,A33-7+1)=$D$2,INDEX('Commission Data — Sales'!$Z$7:$Z$205,A33-7+1),0),0),IFERROR(IF(INDEX('Commission Data — Presales'!$N$7:$N$205,A33-7+1)=$D$2,INDEX('Commission Data — Presales'!$P$7:$P$205,A33-7+1),0)+IF(INDEX('Commission Data — Presales'!$Q$7:$Q$205,A33-7+1)=$D$2,INDEX('Commission Data — Presales'!$S$7:$S$205,A33-7+1),0)+IF(INDEX('Commission Data — Presales'!$T$7:$T$205,A33-7+1)=$D$2,INDEX('Commission Data — Presales'!$V$7:$V$205,A33-7+1),0),0))))),"")</f>
        <v/>
      </c>
      <c r="L33" s="155" t="str">
        <f>IF(A33&lt;&gt;"",IF(N33="M",IFERROR(INDEX('Commission Data — Sales'!$AB$7:$AB$205,A33-7+1),0),IF(N33="G",IFERROR(INDEX('Commission Data — Sales'!$AD$7:$AD$205,A33-7+1),0),IF(N33="D",IFERROR(INDEX('Commission Data — Sales'!$AF$7:$AF$205,A33-7+1),0),IF(N33="S",IFERROR(IF(INDEX('Commission Data — Sales'!$O$7:$O$205,A33-7+1)=$D$2,INDEX('Commission Data — Sales'!$AQ$7:$AQ$205,A33-7+1),0)+IF(INDEX('Commission Data — Sales'!$S$7:$S$205,A33-7+1)=$D$2,INDEX('Commission Data — Sales'!$AR$7:$AR$205,A33-7+1),0)+IF(INDEX('Commission Data — Sales'!$W$7:$W$205,A33-7+1)=$D$2,INDEX('Commission Data — Sales'!$AS$7:$AS$205,A33-7+1),0),0),IFERROR(IF(INDEX('Commission Data — Presales'!$N$7:$N$205,A33-7+1)=$D$2,INDEX('Commission Data — Presales'!$P$7:$P$205,A33-7+1),0)+IF(INDEX('Commission Data — Presales'!$Q$7:$Q$205,A33-7+1)=$D$2,INDEX('Commission Data — Presales'!$S$7:$S$205,A33-7+1),0)+IF(INDEX('Commission Data — Presales'!$T$7:$T$205,A33-7+1)=$D$2,INDEX('Commission Data — Presales'!$V$7:$V$205,A33-7+1),0),0))))),"")</f>
        <v/>
      </c>
      <c r="M33" s="198" t="str">
        <f>IF(A33&lt;&gt;"",IF(N33="M","PM — Umbrella Contract | rate: "&amp;TEXT(Config!$C$22,"0.0%"),IF(N33="G","Manager commission (0.7%)",IF(N33="D","Director commission (0.3%)",IF(N33="S",IFERROR(IF(INDEX('Commission Data — Sales'!$N$7:$N$205,A33-7+1)="Umbrella Contract","Umbrella Contract — your rate: "&amp;TEXT(Config!$C$21,"0.0%")&amp;IF(INDEX('Commission Data — Sales'!$AA$7:$AA$205,A33-7+1)&lt;&gt;""," | PM: "&amp;INDEX('Commission Data — Sales'!$AA$7:$AA$205,A33-7+1)&amp;" ("&amp;TEXT(Config!$C$22,"0.0%")&amp;")",""),IF(INDEX('Commission Data — Sales'!$O$7:$O$205,A33-7+1)=$D$2,IF(AND(INDEX('Commission Data — Sales'!$S$7:$S$205,A33-7+1)="",,INDEX('Commission Data — Sales'!$W$7:$W$205,A33-7+1)=""),"Sole PIC (100%)","Shared — your share: "&amp;TEXT(INDEX('Commission Data — Sales'!$P$7:$P$205,A33-7+1),"0%")),IF(INDEX('Commission Data — Sales'!$S$7:$S$205,A33-7+1)=$D$2,"Shared — your share: "&amp;TEXT(INDEX('Commission Data — Sales'!$T$7:$T$205,A33-7+1),"0%"),"Shared — your share: "&amp;TEXT(INDEX('Commission Data — Sales'!$X$7:$X$205,A33-7+1),"0%")))),""),IFERROR(IF(INDEX('Commission Data — Presales'!$N$7:$N$205,A33-7+1)=$D$2,IF(AND(INDEX('Commission Data — Presales'!$Q$7:$Q$205,A33-7+1)="",INDEX('Commission Data — Presales'!$T$7:$T$205,A33-7+1)=""),"Sole Presales (100%)","Shared — your share: "&amp;TEXT(INDEX('Commission Data — Presales'!$O$7:$O$205,A33-7+1),"0%")),IF(INDEX('Commission Data — Presales'!$Q$7:$Q$205,A33-7+1)=$D$2,"Shared — your share: "&amp;TEXT(INDEX('Commission Data — Presales'!$R$7:$R$205,A33-7+1),"0%"),"Shared — your share: "&amp;TEXT(INDEX('Commission Data — Presales'!$U$7:$U$205,A33-7+1),"0%"))),""))))),"")</f>
        <v/>
      </c>
      <c r="N33" t="str">
        <f>IFERROR(IF(INDEX(O4:O258,MATCH($D$2,O4:O258,0)+28)=$D$2,INDEX(P4:P258,MATCH($D$2,O4:O258,0)+28),""),"")</f>
        <v/>
      </c>
      <c r="O33" t="s">
        <v>151</v>
      </c>
      <c r="P33" t="s">
        <v>312</v>
      </c>
      <c r="Q33">
        <v>76</v>
      </c>
    </row>
    <row r="34" spans="1:17" ht="18" customHeight="1" x14ac:dyDescent="0.45">
      <c r="A34" s="83" t="str">
        <f>IFERROR(IF(INDEX(O4:O258,MATCH($D$2,O4:O258,0)+29)=$D$2,INDEX(Q4:Q258,MATCH($D$2,O4:O258,0)+29),""),"")</f>
        <v/>
      </c>
      <c r="B34" s="199" t="str">
        <f>IF(A34&lt;&gt;"",IF(OR(N34="S",N34="M",N34="G",N34="D"),INDEX('Commission Data — Sales'!$C$7:$C$205,A34-7+1),INDEX('Commission Data — Presales'!$C$7:$C$205,A34-7+1)),"")</f>
        <v/>
      </c>
      <c r="C34" s="199" t="str">
        <f>IF(A34&lt;&gt;"",IF(OR(N34="S",N34="M",N34="G",N34="D"),INDEX('Commission Data — Sales'!$D$7:$D$205,A34-7+1),INDEX('Commission Data — Presales'!$D$7:$D$205,A34-7+1)),"")</f>
        <v/>
      </c>
      <c r="D34" s="199" t="str">
        <f>IF(A34&lt;&gt;"",IF(OR(N34="S",N34="M",N34="G",N34="D"),INDEX('Commission Data — Sales'!$E$7:$E$205,A34-7+1),INDEX('Commission Data — Presales'!$E$7:$E$205,A34-7+1)),"")</f>
        <v/>
      </c>
      <c r="E34" s="199" t="str">
        <f>IF(A34&lt;&gt;"",IF(OR(N34="S",N34="M",N34="G",N34="D"),INDEX('Commission Data — Sales'!$G$7:$G$205,A34-7+1),INDEX('Commission Data — Presales'!$G$7:$G$205,A34-7+1)),"")</f>
        <v/>
      </c>
      <c r="F34" s="200" t="str">
        <f>IF(A34&lt;&gt;"",IF(OR(N34="S",N34="M",N34="G",N34="D"),INDEX('Commission Data — Sales'!$H$7:$H$205,A34-7+1),INDEX('Commission Data — Presales'!$H$7:$H$205,A34-7+1)),"")</f>
        <v/>
      </c>
      <c r="G34" s="201" t="str">
        <f>IF(A34&lt;&gt;"",IF(OR(N34="S",N34="M",N34="G",N34="D"),INDEX('Commission Data — Sales'!$N$7:$N$205,A34-7+1),"Presales"),"")</f>
        <v/>
      </c>
      <c r="H34" s="202" t="str">
        <f>IF(A34&lt;&gt;"",IF(OR(N34="S",N34="M",N34="G",N34="D"),INDEX('Commission Data — Sales'!$L$7:$L$205,A34-7+1),INDEX('Commission Data — Presales'!$L$7:$L$205,A34-7+1)),"")</f>
        <v/>
      </c>
      <c r="I34" s="203">
        <f>IF(A34&lt;&gt;"",IF(OR(N34="S",N34="M",N34="G",N34="D"),INDEX('Commission Data — Sales'!$M$7:$M$205,A34-7+1),INDEX('Commission Data — Presales'!$M$7:$M$205,A34-7+1)),0)</f>
        <v>0</v>
      </c>
      <c r="J34" s="204" t="str">
        <f>IF(A34&lt;&gt;"",IF(N34="M",Config!$C$22,IF(N34="G",Config!$C$23,IF(N34="D",Config!$C$24,IF(N34="S",IFERROR(IF(INDEX('Commission Data — Sales'!$O$7:$O$205,A34-7+1)=$D$2,INDEX('Commission Data — Sales'!$Q$7:$Q$205,A34-7+1)*INDEX('Commission Data — Sales'!$P$7:$P$205,A34-7+1),IF(INDEX('Commission Data — Sales'!$S$7:$S$205,A34-7+1)=$D$2,INDEX('Commission Data — Sales'!$U$7:$U$205,A34-7+1)*INDEX('Commission Data — Sales'!$T$7:$T$205,A34-7+1),INDEX('Commission Data — Sales'!$Y$7:$Y$205,A34-7+1)*INDEX('Commission Data — Sales'!$X$7:$X$205,A34-7+1))),0),IFERROR(IF(INDEX('Commission Data — Presales'!$N$7:$N$205,A34-7+1)=$D$2,Config!$C$25*INDEX('Commission Data — Presales'!$O$7:$O$205,A34-7+1),IF(INDEX('Commission Data — Presales'!$Q$7:$Q$205,A34-7+1)=$D$2,Config!$C$25*INDEX('Commission Data — Presales'!$R$7:$R$205,A34-7+1),Config!$C$25*INDEX('Commission Data — Presales'!$U$7:$U$205,A34-7+1))),0))))),"")</f>
        <v/>
      </c>
      <c r="K34" s="205" t="str">
        <f>IF(A34&lt;&gt;"",IF(N34="M",IFERROR(INDEX('Commission Data — Sales'!$AB$7:$AB$205,A34-7+1),0),IF(N34="G",IFERROR(INDEX('Commission Data — Sales'!$AD$7:$AD$205,A34-7+1),0),IF(N34="D",IFERROR(INDEX('Commission Data — Sales'!$AF$7:$AF$205,A34-7+1),0),IF(N34="S",IFERROR(IF(INDEX('Commission Data — Sales'!$O$7:$O$205,A34-7+1)=$D$2,INDEX('Commission Data — Sales'!$R$7:$R$205,A34-7+1),0)+IF(INDEX('Commission Data — Sales'!$S$7:$S$205,A34-7+1)=$D$2,INDEX('Commission Data — Sales'!$V$7:$V$205,A34-7+1),0)+IF(INDEX('Commission Data — Sales'!$W$7:$W$205,A34-7+1)=$D$2,INDEX('Commission Data — Sales'!$Z$7:$Z$205,A34-7+1),0),0),IFERROR(IF(INDEX('Commission Data — Presales'!$N$7:$N$205,A34-7+1)=$D$2,INDEX('Commission Data — Presales'!$P$7:$P$205,A34-7+1),0)+IF(INDEX('Commission Data — Presales'!$Q$7:$Q$205,A34-7+1)=$D$2,INDEX('Commission Data — Presales'!$S$7:$S$205,A34-7+1),0)+IF(INDEX('Commission Data — Presales'!$T$7:$T$205,A34-7+1)=$D$2,INDEX('Commission Data — Presales'!$V$7:$V$205,A34-7+1),0),0))))),"")</f>
        <v/>
      </c>
      <c r="L34" s="163" t="str">
        <f>IF(A34&lt;&gt;"",IF(N34="M",IFERROR(INDEX('Commission Data — Sales'!$AB$7:$AB$205,A34-7+1),0),IF(N34="G",IFERROR(INDEX('Commission Data — Sales'!$AD$7:$AD$205,A34-7+1),0),IF(N34="D",IFERROR(INDEX('Commission Data — Sales'!$AF$7:$AF$205,A34-7+1),0),IF(N34="S",IFERROR(IF(INDEX('Commission Data — Sales'!$O$7:$O$205,A34-7+1)=$D$2,INDEX('Commission Data — Sales'!$AQ$7:$AQ$205,A34-7+1),0)+IF(INDEX('Commission Data — Sales'!$S$7:$S$205,A34-7+1)=$D$2,INDEX('Commission Data — Sales'!$AR$7:$AR$205,A34-7+1),0)+IF(INDEX('Commission Data — Sales'!$W$7:$W$205,A34-7+1)=$D$2,INDEX('Commission Data — Sales'!$AS$7:$AS$205,A34-7+1),0),0),IFERROR(IF(INDEX('Commission Data — Presales'!$N$7:$N$205,A34-7+1)=$D$2,INDEX('Commission Data — Presales'!$P$7:$P$205,A34-7+1),0)+IF(INDEX('Commission Data — Presales'!$Q$7:$Q$205,A34-7+1)=$D$2,INDEX('Commission Data — Presales'!$S$7:$S$205,A34-7+1),0)+IF(INDEX('Commission Data — Presales'!$T$7:$T$205,A34-7+1)=$D$2,INDEX('Commission Data — Presales'!$V$7:$V$205,A34-7+1),0),0))))),"")</f>
        <v/>
      </c>
      <c r="M34" s="206" t="str">
        <f>IF(A34&lt;&gt;"",IF(N34="M","PM — Umbrella Contract | rate: "&amp;TEXT(Config!$C$22,"0.0%"),IF(N34="G","Manager commission (0.7%)",IF(N34="D","Director commission (0.3%)",IF(N34="S",IFERROR(IF(INDEX('Commission Data — Sales'!$N$7:$N$205,A34-7+1)="Umbrella Contract","Umbrella Contract — your rate: "&amp;TEXT(Config!$C$21,"0.0%")&amp;IF(INDEX('Commission Data — Sales'!$AA$7:$AA$205,A34-7+1)&lt;&gt;""," | PM: "&amp;INDEX('Commission Data — Sales'!$AA$7:$AA$205,A34-7+1)&amp;" ("&amp;TEXT(Config!$C$22,"0.0%")&amp;")",""),IF(INDEX('Commission Data — Sales'!$O$7:$O$205,A34-7+1)=$D$2,IF(AND(INDEX('Commission Data — Sales'!$S$7:$S$205,A34-7+1)="",,INDEX('Commission Data — Sales'!$W$7:$W$205,A34-7+1)=""),"Sole PIC (100%)","Shared — your share: "&amp;TEXT(INDEX('Commission Data — Sales'!$P$7:$P$205,A34-7+1),"0%")),IF(INDEX('Commission Data — Sales'!$S$7:$S$205,A34-7+1)=$D$2,"Shared — your share: "&amp;TEXT(INDEX('Commission Data — Sales'!$T$7:$T$205,A34-7+1),"0%"),"Shared — your share: "&amp;TEXT(INDEX('Commission Data — Sales'!$X$7:$X$205,A34-7+1),"0%")))),""),IFERROR(IF(INDEX('Commission Data — Presales'!$N$7:$N$205,A34-7+1)=$D$2,IF(AND(INDEX('Commission Data — Presales'!$Q$7:$Q$205,A34-7+1)="",INDEX('Commission Data — Presales'!$T$7:$T$205,A34-7+1)=""),"Sole Presales (100%)","Shared — your share: "&amp;TEXT(INDEX('Commission Data — Presales'!$O$7:$O$205,A34-7+1),"0%")),IF(INDEX('Commission Data — Presales'!$Q$7:$Q$205,A34-7+1)=$D$2,"Shared — your share: "&amp;TEXT(INDEX('Commission Data — Presales'!$R$7:$R$205,A34-7+1),"0%"),"Shared — your share: "&amp;TEXT(INDEX('Commission Data — Presales'!$U$7:$U$205,A34-7+1),"0%"))),""))))),"")</f>
        <v/>
      </c>
      <c r="N34" t="str">
        <f>IFERROR(IF(INDEX(O4:O258,MATCH($D$2,O4:O258,0)+29)=$D$2,INDEX(P4:P258,MATCH($D$2,O4:O258,0)+29),""),"")</f>
        <v/>
      </c>
      <c r="O34" t="s">
        <v>151</v>
      </c>
      <c r="P34" t="s">
        <v>312</v>
      </c>
      <c r="Q34">
        <v>78</v>
      </c>
    </row>
    <row r="35" spans="1:17" ht="18" customHeight="1" x14ac:dyDescent="0.45">
      <c r="A35" s="83" t="str">
        <f>IFERROR(IF(INDEX(O4:O258,MATCH($D$2,O4:O258,0)+30)=$D$2,INDEX(Q4:Q258,MATCH($D$2,O4:O258,0)+30),""),"")</f>
        <v/>
      </c>
      <c r="B35" s="191" t="str">
        <f>IF(A35&lt;&gt;"",IF(OR(N35="S",N35="M",N35="G",N35="D"),INDEX('Commission Data — Sales'!$C$7:$C$205,A35-7+1),INDEX('Commission Data — Presales'!$C$7:$C$205,A35-7+1)),"")</f>
        <v/>
      </c>
      <c r="C35" s="191" t="str">
        <f>IF(A35&lt;&gt;"",IF(OR(N35="S",N35="M",N35="G",N35="D"),INDEX('Commission Data — Sales'!$D$7:$D$205,A35-7+1),INDEX('Commission Data — Presales'!$D$7:$D$205,A35-7+1)),"")</f>
        <v/>
      </c>
      <c r="D35" s="191" t="str">
        <f>IF(A35&lt;&gt;"",IF(OR(N35="S",N35="M",N35="G",N35="D"),INDEX('Commission Data — Sales'!$E$7:$E$205,A35-7+1),INDEX('Commission Data — Presales'!$E$7:$E$205,A35-7+1)),"")</f>
        <v/>
      </c>
      <c r="E35" s="191" t="str">
        <f>IF(A35&lt;&gt;"",IF(OR(N35="S",N35="M",N35="G",N35="D"),INDEX('Commission Data — Sales'!$G$7:$G$205,A35-7+1),INDEX('Commission Data — Presales'!$G$7:$G$205,A35-7+1)),"")</f>
        <v/>
      </c>
      <c r="F35" s="192" t="str">
        <f>IF(A35&lt;&gt;"",IF(OR(N35="S",N35="M",N35="G",N35="D"),INDEX('Commission Data — Sales'!$H$7:$H$205,A35-7+1),INDEX('Commission Data — Presales'!$H$7:$H$205,A35-7+1)),"")</f>
        <v/>
      </c>
      <c r="G35" s="193" t="str">
        <f>IF(A35&lt;&gt;"",IF(OR(N35="S",N35="M",N35="G",N35="D"),INDEX('Commission Data — Sales'!$N$7:$N$205,A35-7+1),"Presales"),"")</f>
        <v/>
      </c>
      <c r="H35" s="194" t="str">
        <f>IF(A35&lt;&gt;"",IF(OR(N35="S",N35="M",N35="G",N35="D"),INDEX('Commission Data — Sales'!$L$7:$L$205,A35-7+1),INDEX('Commission Data — Presales'!$L$7:$L$205,A35-7+1)),"")</f>
        <v/>
      </c>
      <c r="I35" s="195">
        <f>IF(A35&lt;&gt;"",IF(OR(N35="S",N35="M",N35="G",N35="D"),INDEX('Commission Data — Sales'!$M$7:$M$205,A35-7+1),INDEX('Commission Data — Presales'!$M$7:$M$205,A35-7+1)),0)</f>
        <v>0</v>
      </c>
      <c r="J35" s="196" t="str">
        <f>IF(A35&lt;&gt;"",IF(N35="M",Config!$C$22,IF(N35="G",Config!$C$23,IF(N35="D",Config!$C$24,IF(N35="S",IFERROR(IF(INDEX('Commission Data — Sales'!$O$7:$O$205,A35-7+1)=$D$2,INDEX('Commission Data — Sales'!$Q$7:$Q$205,A35-7+1)*INDEX('Commission Data — Sales'!$P$7:$P$205,A35-7+1),IF(INDEX('Commission Data — Sales'!$S$7:$S$205,A35-7+1)=$D$2,INDEX('Commission Data — Sales'!$U$7:$U$205,A35-7+1)*INDEX('Commission Data — Sales'!$T$7:$T$205,A35-7+1),INDEX('Commission Data — Sales'!$Y$7:$Y$205,A35-7+1)*INDEX('Commission Data — Sales'!$X$7:$X$205,A35-7+1))),0),IFERROR(IF(INDEX('Commission Data — Presales'!$N$7:$N$205,A35-7+1)=$D$2,Config!$C$25*INDEX('Commission Data — Presales'!$O$7:$O$205,A35-7+1),IF(INDEX('Commission Data — Presales'!$Q$7:$Q$205,A35-7+1)=$D$2,Config!$C$25*INDEX('Commission Data — Presales'!$R$7:$R$205,A35-7+1),Config!$C$25*INDEX('Commission Data — Presales'!$U$7:$U$205,A35-7+1))),0))))),"")</f>
        <v/>
      </c>
      <c r="K35" s="197" t="str">
        <f>IF(A35&lt;&gt;"",IF(N35="M",IFERROR(INDEX('Commission Data — Sales'!$AB$7:$AB$205,A35-7+1),0),IF(N35="G",IFERROR(INDEX('Commission Data — Sales'!$AD$7:$AD$205,A35-7+1),0),IF(N35="D",IFERROR(INDEX('Commission Data — Sales'!$AF$7:$AF$205,A35-7+1),0),IF(N35="S",IFERROR(IF(INDEX('Commission Data — Sales'!$O$7:$O$205,A35-7+1)=$D$2,INDEX('Commission Data — Sales'!$R$7:$R$205,A35-7+1),0)+IF(INDEX('Commission Data — Sales'!$S$7:$S$205,A35-7+1)=$D$2,INDEX('Commission Data — Sales'!$V$7:$V$205,A35-7+1),0)+IF(INDEX('Commission Data — Sales'!$W$7:$W$205,A35-7+1)=$D$2,INDEX('Commission Data — Sales'!$Z$7:$Z$205,A35-7+1),0),0),IFERROR(IF(INDEX('Commission Data — Presales'!$N$7:$N$205,A35-7+1)=$D$2,INDEX('Commission Data — Presales'!$P$7:$P$205,A35-7+1),0)+IF(INDEX('Commission Data — Presales'!$Q$7:$Q$205,A35-7+1)=$D$2,INDEX('Commission Data — Presales'!$S$7:$S$205,A35-7+1),0)+IF(INDEX('Commission Data — Presales'!$T$7:$T$205,A35-7+1)=$D$2,INDEX('Commission Data — Presales'!$V$7:$V$205,A35-7+1),0),0))))),"")</f>
        <v/>
      </c>
      <c r="L35" s="155" t="str">
        <f>IF(A35&lt;&gt;"",IF(N35="M",IFERROR(INDEX('Commission Data — Sales'!$AB$7:$AB$205,A35-7+1),0),IF(N35="G",IFERROR(INDEX('Commission Data — Sales'!$AD$7:$AD$205,A35-7+1),0),IF(N35="D",IFERROR(INDEX('Commission Data — Sales'!$AF$7:$AF$205,A35-7+1),0),IF(N35="S",IFERROR(IF(INDEX('Commission Data — Sales'!$O$7:$O$205,A35-7+1)=$D$2,INDEX('Commission Data — Sales'!$AQ$7:$AQ$205,A35-7+1),0)+IF(INDEX('Commission Data — Sales'!$S$7:$S$205,A35-7+1)=$D$2,INDEX('Commission Data — Sales'!$AR$7:$AR$205,A35-7+1),0)+IF(INDEX('Commission Data — Sales'!$W$7:$W$205,A35-7+1)=$D$2,INDEX('Commission Data — Sales'!$AS$7:$AS$205,A35-7+1),0),0),IFERROR(IF(INDEX('Commission Data — Presales'!$N$7:$N$205,A35-7+1)=$D$2,INDEX('Commission Data — Presales'!$P$7:$P$205,A35-7+1),0)+IF(INDEX('Commission Data — Presales'!$Q$7:$Q$205,A35-7+1)=$D$2,INDEX('Commission Data — Presales'!$S$7:$S$205,A35-7+1),0)+IF(INDEX('Commission Data — Presales'!$T$7:$T$205,A35-7+1)=$D$2,INDEX('Commission Data — Presales'!$V$7:$V$205,A35-7+1),0),0))))),"")</f>
        <v/>
      </c>
      <c r="M35" s="198" t="str">
        <f>IF(A35&lt;&gt;"",IF(N35="M","PM — Umbrella Contract | rate: "&amp;TEXT(Config!$C$22,"0.0%"),IF(N35="G","Manager commission (0.7%)",IF(N35="D","Director commission (0.3%)",IF(N35="S",IFERROR(IF(INDEX('Commission Data — Sales'!$N$7:$N$205,A35-7+1)="Umbrella Contract","Umbrella Contract — your rate: "&amp;TEXT(Config!$C$21,"0.0%")&amp;IF(INDEX('Commission Data — Sales'!$AA$7:$AA$205,A35-7+1)&lt;&gt;""," | PM: "&amp;INDEX('Commission Data — Sales'!$AA$7:$AA$205,A35-7+1)&amp;" ("&amp;TEXT(Config!$C$22,"0.0%")&amp;")",""),IF(INDEX('Commission Data — Sales'!$O$7:$O$205,A35-7+1)=$D$2,IF(AND(INDEX('Commission Data — Sales'!$S$7:$S$205,A35-7+1)="",,INDEX('Commission Data — Sales'!$W$7:$W$205,A35-7+1)=""),"Sole PIC (100%)","Shared — your share: "&amp;TEXT(INDEX('Commission Data — Sales'!$P$7:$P$205,A35-7+1),"0%")),IF(INDEX('Commission Data — Sales'!$S$7:$S$205,A35-7+1)=$D$2,"Shared — your share: "&amp;TEXT(INDEX('Commission Data — Sales'!$T$7:$T$205,A35-7+1),"0%"),"Shared — your share: "&amp;TEXT(INDEX('Commission Data — Sales'!$X$7:$X$205,A35-7+1),"0%")))),""),IFERROR(IF(INDEX('Commission Data — Presales'!$N$7:$N$205,A35-7+1)=$D$2,IF(AND(INDEX('Commission Data — Presales'!$Q$7:$Q$205,A35-7+1)="",INDEX('Commission Data — Presales'!$T$7:$T$205,A35-7+1)=""),"Sole Presales (100%)","Shared — your share: "&amp;TEXT(INDEX('Commission Data — Presales'!$O$7:$O$205,A35-7+1),"0%")),IF(INDEX('Commission Data — Presales'!$Q$7:$Q$205,A35-7+1)=$D$2,"Shared — your share: "&amp;TEXT(INDEX('Commission Data — Presales'!$R$7:$R$205,A35-7+1),"0%"),"Shared — your share: "&amp;TEXT(INDEX('Commission Data — Presales'!$U$7:$U$205,A35-7+1),"0%"))),""))))),"")</f>
        <v/>
      </c>
      <c r="N35" t="str">
        <f>IFERROR(IF(INDEX(O4:O258,MATCH($D$2,O4:O258,0)+30)=$D$2,INDEX(P4:P258,MATCH($D$2,O4:O258,0)+30),""),"")</f>
        <v/>
      </c>
      <c r="O35" t="s">
        <v>151</v>
      </c>
      <c r="P35" t="s">
        <v>312</v>
      </c>
      <c r="Q35">
        <v>90</v>
      </c>
    </row>
    <row r="36" spans="1:17" ht="18" customHeight="1" x14ac:dyDescent="0.45">
      <c r="A36" s="83" t="str">
        <f>IFERROR(IF(INDEX(O4:O258,MATCH($D$2,O4:O258,0)+31)=$D$2,INDEX(Q4:Q258,MATCH($D$2,O4:O258,0)+31),""),"")</f>
        <v/>
      </c>
      <c r="B36" s="199" t="str">
        <f>IF(A36&lt;&gt;"",IF(OR(N36="S",N36="M",N36="G",N36="D"),INDEX('Commission Data — Sales'!$C$7:$C$205,A36-7+1),INDEX('Commission Data — Presales'!$C$7:$C$205,A36-7+1)),"")</f>
        <v/>
      </c>
      <c r="C36" s="199" t="str">
        <f>IF(A36&lt;&gt;"",IF(OR(N36="S",N36="M",N36="G",N36="D"),INDEX('Commission Data — Sales'!$D$7:$D$205,A36-7+1),INDEX('Commission Data — Presales'!$D$7:$D$205,A36-7+1)),"")</f>
        <v/>
      </c>
      <c r="D36" s="199" t="str">
        <f>IF(A36&lt;&gt;"",IF(OR(N36="S",N36="M",N36="G",N36="D"),INDEX('Commission Data — Sales'!$E$7:$E$205,A36-7+1),INDEX('Commission Data — Presales'!$E$7:$E$205,A36-7+1)),"")</f>
        <v/>
      </c>
      <c r="E36" s="199" t="str">
        <f>IF(A36&lt;&gt;"",IF(OR(N36="S",N36="M",N36="G",N36="D"),INDEX('Commission Data — Sales'!$G$7:$G$205,A36-7+1),INDEX('Commission Data — Presales'!$G$7:$G$205,A36-7+1)),"")</f>
        <v/>
      </c>
      <c r="F36" s="200" t="str">
        <f>IF(A36&lt;&gt;"",IF(OR(N36="S",N36="M",N36="G",N36="D"),INDEX('Commission Data — Sales'!$H$7:$H$205,A36-7+1),INDEX('Commission Data — Presales'!$H$7:$H$205,A36-7+1)),"")</f>
        <v/>
      </c>
      <c r="G36" s="201" t="str">
        <f>IF(A36&lt;&gt;"",IF(OR(N36="S",N36="M",N36="G",N36="D"),INDEX('Commission Data — Sales'!$N$7:$N$205,A36-7+1),"Presales"),"")</f>
        <v/>
      </c>
      <c r="H36" s="202" t="str">
        <f>IF(A36&lt;&gt;"",IF(OR(N36="S",N36="M",N36="G",N36="D"),INDEX('Commission Data — Sales'!$L$7:$L$205,A36-7+1),INDEX('Commission Data — Presales'!$L$7:$L$205,A36-7+1)),"")</f>
        <v/>
      </c>
      <c r="I36" s="203">
        <f>IF(A36&lt;&gt;"",IF(OR(N36="S",N36="M",N36="G",N36="D"),INDEX('Commission Data — Sales'!$M$7:$M$205,A36-7+1),INDEX('Commission Data — Presales'!$M$7:$M$205,A36-7+1)),0)</f>
        <v>0</v>
      </c>
      <c r="J36" s="204" t="str">
        <f>IF(A36&lt;&gt;"",IF(N36="M",Config!$C$22,IF(N36="G",Config!$C$23,IF(N36="D",Config!$C$24,IF(N36="S",IFERROR(IF(INDEX('Commission Data — Sales'!$O$7:$O$205,A36-7+1)=$D$2,INDEX('Commission Data — Sales'!$Q$7:$Q$205,A36-7+1)*INDEX('Commission Data — Sales'!$P$7:$P$205,A36-7+1),IF(INDEX('Commission Data — Sales'!$S$7:$S$205,A36-7+1)=$D$2,INDEX('Commission Data — Sales'!$U$7:$U$205,A36-7+1)*INDEX('Commission Data — Sales'!$T$7:$T$205,A36-7+1),INDEX('Commission Data — Sales'!$Y$7:$Y$205,A36-7+1)*INDEX('Commission Data — Sales'!$X$7:$X$205,A36-7+1))),0),IFERROR(IF(INDEX('Commission Data — Presales'!$N$7:$N$205,A36-7+1)=$D$2,Config!$C$25*INDEX('Commission Data — Presales'!$O$7:$O$205,A36-7+1),IF(INDEX('Commission Data — Presales'!$Q$7:$Q$205,A36-7+1)=$D$2,Config!$C$25*INDEX('Commission Data — Presales'!$R$7:$R$205,A36-7+1),Config!$C$25*INDEX('Commission Data — Presales'!$U$7:$U$205,A36-7+1))),0))))),"")</f>
        <v/>
      </c>
      <c r="K36" s="205" t="str">
        <f>IF(A36&lt;&gt;"",IF(N36="M",IFERROR(INDEX('Commission Data — Sales'!$AB$7:$AB$205,A36-7+1),0),IF(N36="G",IFERROR(INDEX('Commission Data — Sales'!$AD$7:$AD$205,A36-7+1),0),IF(N36="D",IFERROR(INDEX('Commission Data — Sales'!$AF$7:$AF$205,A36-7+1),0),IF(N36="S",IFERROR(IF(INDEX('Commission Data — Sales'!$O$7:$O$205,A36-7+1)=$D$2,INDEX('Commission Data — Sales'!$R$7:$R$205,A36-7+1),0)+IF(INDEX('Commission Data — Sales'!$S$7:$S$205,A36-7+1)=$D$2,INDEX('Commission Data — Sales'!$V$7:$V$205,A36-7+1),0)+IF(INDEX('Commission Data — Sales'!$W$7:$W$205,A36-7+1)=$D$2,INDEX('Commission Data — Sales'!$Z$7:$Z$205,A36-7+1),0),0),IFERROR(IF(INDEX('Commission Data — Presales'!$N$7:$N$205,A36-7+1)=$D$2,INDEX('Commission Data — Presales'!$P$7:$P$205,A36-7+1),0)+IF(INDEX('Commission Data — Presales'!$Q$7:$Q$205,A36-7+1)=$D$2,INDEX('Commission Data — Presales'!$S$7:$S$205,A36-7+1),0)+IF(INDEX('Commission Data — Presales'!$T$7:$T$205,A36-7+1)=$D$2,INDEX('Commission Data — Presales'!$V$7:$V$205,A36-7+1),0),0))))),"")</f>
        <v/>
      </c>
      <c r="L36" s="163" t="str">
        <f>IF(A36&lt;&gt;"",IF(N36="M",IFERROR(INDEX('Commission Data — Sales'!$AB$7:$AB$205,A36-7+1),0),IF(N36="G",IFERROR(INDEX('Commission Data — Sales'!$AD$7:$AD$205,A36-7+1),0),IF(N36="D",IFERROR(INDEX('Commission Data — Sales'!$AF$7:$AF$205,A36-7+1),0),IF(N36="S",IFERROR(IF(INDEX('Commission Data — Sales'!$O$7:$O$205,A36-7+1)=$D$2,INDEX('Commission Data — Sales'!$AQ$7:$AQ$205,A36-7+1),0)+IF(INDEX('Commission Data — Sales'!$S$7:$S$205,A36-7+1)=$D$2,INDEX('Commission Data — Sales'!$AR$7:$AR$205,A36-7+1),0)+IF(INDEX('Commission Data — Sales'!$W$7:$W$205,A36-7+1)=$D$2,INDEX('Commission Data — Sales'!$AS$7:$AS$205,A36-7+1),0),0),IFERROR(IF(INDEX('Commission Data — Presales'!$N$7:$N$205,A36-7+1)=$D$2,INDEX('Commission Data — Presales'!$P$7:$P$205,A36-7+1),0)+IF(INDEX('Commission Data — Presales'!$Q$7:$Q$205,A36-7+1)=$D$2,INDEX('Commission Data — Presales'!$S$7:$S$205,A36-7+1),0)+IF(INDEX('Commission Data — Presales'!$T$7:$T$205,A36-7+1)=$D$2,INDEX('Commission Data — Presales'!$V$7:$V$205,A36-7+1),0),0))))),"")</f>
        <v/>
      </c>
      <c r="M36" s="206" t="str">
        <f>IF(A36&lt;&gt;"",IF(N36="M","PM — Umbrella Contract | rate: "&amp;TEXT(Config!$C$22,"0.0%"),IF(N36="G","Manager commission (0.7%)",IF(N36="D","Director commission (0.3%)",IF(N36="S",IFERROR(IF(INDEX('Commission Data — Sales'!$N$7:$N$205,A36-7+1)="Umbrella Contract","Umbrella Contract — your rate: "&amp;TEXT(Config!$C$21,"0.0%")&amp;IF(INDEX('Commission Data — Sales'!$AA$7:$AA$205,A36-7+1)&lt;&gt;""," | PM: "&amp;INDEX('Commission Data — Sales'!$AA$7:$AA$205,A36-7+1)&amp;" ("&amp;TEXT(Config!$C$22,"0.0%")&amp;")",""),IF(INDEX('Commission Data — Sales'!$O$7:$O$205,A36-7+1)=$D$2,IF(AND(INDEX('Commission Data — Sales'!$S$7:$S$205,A36-7+1)="",,INDEX('Commission Data — Sales'!$W$7:$W$205,A36-7+1)=""),"Sole PIC (100%)","Shared — your share: "&amp;TEXT(INDEX('Commission Data — Sales'!$P$7:$P$205,A36-7+1),"0%")),IF(INDEX('Commission Data — Sales'!$S$7:$S$205,A36-7+1)=$D$2,"Shared — your share: "&amp;TEXT(INDEX('Commission Data — Sales'!$T$7:$T$205,A36-7+1),"0%"),"Shared — your share: "&amp;TEXT(INDEX('Commission Data — Sales'!$X$7:$X$205,A36-7+1),"0%")))),""),IFERROR(IF(INDEX('Commission Data — Presales'!$N$7:$N$205,A36-7+1)=$D$2,IF(AND(INDEX('Commission Data — Presales'!$Q$7:$Q$205,A36-7+1)="",INDEX('Commission Data — Presales'!$T$7:$T$205,A36-7+1)=""),"Sole Presales (100%)","Shared — your share: "&amp;TEXT(INDEX('Commission Data — Presales'!$O$7:$O$205,A36-7+1),"0%")),IF(INDEX('Commission Data — Presales'!$Q$7:$Q$205,A36-7+1)=$D$2,"Shared — your share: "&amp;TEXT(INDEX('Commission Data — Presales'!$R$7:$R$205,A36-7+1),"0%"),"Shared — your share: "&amp;TEXT(INDEX('Commission Data — Presales'!$U$7:$U$205,A36-7+1),"0%"))),""))))),"")</f>
        <v/>
      </c>
      <c r="N36" t="str">
        <f>IFERROR(IF(INDEX(O4:O258,MATCH($D$2,O4:O258,0)+31)=$D$2,INDEX(P4:P258,MATCH($D$2,O4:O258,0)+31),""),"")</f>
        <v/>
      </c>
      <c r="O36" t="s">
        <v>151</v>
      </c>
      <c r="P36" t="s">
        <v>312</v>
      </c>
      <c r="Q36">
        <v>91</v>
      </c>
    </row>
    <row r="37" spans="1:17" ht="18" customHeight="1" x14ac:dyDescent="0.45">
      <c r="A37" s="83" t="str">
        <f>IFERROR(IF(INDEX(O4:O258,MATCH($D$2,O4:O258,0)+32)=$D$2,INDEX(Q4:Q258,MATCH($D$2,O4:O258,0)+32),""),"")</f>
        <v/>
      </c>
      <c r="B37" s="191" t="str">
        <f>IF(A37&lt;&gt;"",IF(OR(N37="S",N37="M",N37="G",N37="D"),INDEX('Commission Data — Sales'!$C$7:$C$205,A37-7+1),INDEX('Commission Data — Presales'!$C$7:$C$205,A37-7+1)),"")</f>
        <v/>
      </c>
      <c r="C37" s="191" t="str">
        <f>IF(A37&lt;&gt;"",IF(OR(N37="S",N37="M",N37="G",N37="D"),INDEX('Commission Data — Sales'!$D$7:$D$205,A37-7+1),INDEX('Commission Data — Presales'!$D$7:$D$205,A37-7+1)),"")</f>
        <v/>
      </c>
      <c r="D37" s="191" t="str">
        <f>IF(A37&lt;&gt;"",IF(OR(N37="S",N37="M",N37="G",N37="D"),INDEX('Commission Data — Sales'!$E$7:$E$205,A37-7+1),INDEX('Commission Data — Presales'!$E$7:$E$205,A37-7+1)),"")</f>
        <v/>
      </c>
      <c r="E37" s="191" t="str">
        <f>IF(A37&lt;&gt;"",IF(OR(N37="S",N37="M",N37="G",N37="D"),INDEX('Commission Data — Sales'!$G$7:$G$205,A37-7+1),INDEX('Commission Data — Presales'!$G$7:$G$205,A37-7+1)),"")</f>
        <v/>
      </c>
      <c r="F37" s="192" t="str">
        <f>IF(A37&lt;&gt;"",IF(OR(N37="S",N37="M",N37="G",N37="D"),INDEX('Commission Data — Sales'!$H$7:$H$205,A37-7+1),INDEX('Commission Data — Presales'!$H$7:$H$205,A37-7+1)),"")</f>
        <v/>
      </c>
      <c r="G37" s="193" t="str">
        <f>IF(A37&lt;&gt;"",IF(OR(N37="S",N37="M",N37="G",N37="D"),INDEX('Commission Data — Sales'!$N$7:$N$205,A37-7+1),"Presales"),"")</f>
        <v/>
      </c>
      <c r="H37" s="194" t="str">
        <f>IF(A37&lt;&gt;"",IF(OR(N37="S",N37="M",N37="G",N37="D"),INDEX('Commission Data — Sales'!$L$7:$L$205,A37-7+1),INDEX('Commission Data — Presales'!$L$7:$L$205,A37-7+1)),"")</f>
        <v/>
      </c>
      <c r="I37" s="195">
        <f>IF(A37&lt;&gt;"",IF(OR(N37="S",N37="M",N37="G",N37="D"),INDEX('Commission Data — Sales'!$M$7:$M$205,A37-7+1),INDEX('Commission Data — Presales'!$M$7:$M$205,A37-7+1)),0)</f>
        <v>0</v>
      </c>
      <c r="J37" s="196" t="str">
        <f>IF(A37&lt;&gt;"",IF(N37="M",Config!$C$22,IF(N37="G",Config!$C$23,IF(N37="D",Config!$C$24,IF(N37="S",IFERROR(IF(INDEX('Commission Data — Sales'!$O$7:$O$205,A37-7+1)=$D$2,INDEX('Commission Data — Sales'!$Q$7:$Q$205,A37-7+1)*INDEX('Commission Data — Sales'!$P$7:$P$205,A37-7+1),IF(INDEX('Commission Data — Sales'!$S$7:$S$205,A37-7+1)=$D$2,INDEX('Commission Data — Sales'!$U$7:$U$205,A37-7+1)*INDEX('Commission Data — Sales'!$T$7:$T$205,A37-7+1),INDEX('Commission Data — Sales'!$Y$7:$Y$205,A37-7+1)*INDEX('Commission Data — Sales'!$X$7:$X$205,A37-7+1))),0),IFERROR(IF(INDEX('Commission Data — Presales'!$N$7:$N$205,A37-7+1)=$D$2,Config!$C$25*INDEX('Commission Data — Presales'!$O$7:$O$205,A37-7+1),IF(INDEX('Commission Data — Presales'!$Q$7:$Q$205,A37-7+1)=$D$2,Config!$C$25*INDEX('Commission Data — Presales'!$R$7:$R$205,A37-7+1),Config!$C$25*INDEX('Commission Data — Presales'!$U$7:$U$205,A37-7+1))),0))))),"")</f>
        <v/>
      </c>
      <c r="K37" s="197" t="str">
        <f>IF(A37&lt;&gt;"",IF(N37="M",IFERROR(INDEX('Commission Data — Sales'!$AB$7:$AB$205,A37-7+1),0),IF(N37="G",IFERROR(INDEX('Commission Data — Sales'!$AD$7:$AD$205,A37-7+1),0),IF(N37="D",IFERROR(INDEX('Commission Data — Sales'!$AF$7:$AF$205,A37-7+1),0),IF(N37="S",IFERROR(IF(INDEX('Commission Data — Sales'!$O$7:$O$205,A37-7+1)=$D$2,INDEX('Commission Data — Sales'!$R$7:$R$205,A37-7+1),0)+IF(INDEX('Commission Data — Sales'!$S$7:$S$205,A37-7+1)=$D$2,INDEX('Commission Data — Sales'!$V$7:$V$205,A37-7+1),0)+IF(INDEX('Commission Data — Sales'!$W$7:$W$205,A37-7+1)=$D$2,INDEX('Commission Data — Sales'!$Z$7:$Z$205,A37-7+1),0),0),IFERROR(IF(INDEX('Commission Data — Presales'!$N$7:$N$205,A37-7+1)=$D$2,INDEX('Commission Data — Presales'!$P$7:$P$205,A37-7+1),0)+IF(INDEX('Commission Data — Presales'!$Q$7:$Q$205,A37-7+1)=$D$2,INDEX('Commission Data — Presales'!$S$7:$S$205,A37-7+1),0)+IF(INDEX('Commission Data — Presales'!$T$7:$T$205,A37-7+1)=$D$2,INDEX('Commission Data — Presales'!$V$7:$V$205,A37-7+1),0),0))))),"")</f>
        <v/>
      </c>
      <c r="L37" s="155" t="str">
        <f>IF(A37&lt;&gt;"",IF(N37="M",IFERROR(INDEX('Commission Data — Sales'!$AB$7:$AB$205,A37-7+1),0),IF(N37="G",IFERROR(INDEX('Commission Data — Sales'!$AD$7:$AD$205,A37-7+1),0),IF(N37="D",IFERROR(INDEX('Commission Data — Sales'!$AF$7:$AF$205,A37-7+1),0),IF(N37="S",IFERROR(IF(INDEX('Commission Data — Sales'!$O$7:$O$205,A37-7+1)=$D$2,INDEX('Commission Data — Sales'!$AQ$7:$AQ$205,A37-7+1),0)+IF(INDEX('Commission Data — Sales'!$S$7:$S$205,A37-7+1)=$D$2,INDEX('Commission Data — Sales'!$AR$7:$AR$205,A37-7+1),0)+IF(INDEX('Commission Data — Sales'!$W$7:$W$205,A37-7+1)=$D$2,INDEX('Commission Data — Sales'!$AS$7:$AS$205,A37-7+1),0),0),IFERROR(IF(INDEX('Commission Data — Presales'!$N$7:$N$205,A37-7+1)=$D$2,INDEX('Commission Data — Presales'!$P$7:$P$205,A37-7+1),0)+IF(INDEX('Commission Data — Presales'!$Q$7:$Q$205,A37-7+1)=$D$2,INDEX('Commission Data — Presales'!$S$7:$S$205,A37-7+1),0)+IF(INDEX('Commission Data — Presales'!$T$7:$T$205,A37-7+1)=$D$2,INDEX('Commission Data — Presales'!$V$7:$V$205,A37-7+1),0),0))))),"")</f>
        <v/>
      </c>
      <c r="M37" s="198" t="str">
        <f>IF(A37&lt;&gt;"",IF(N37="M","PM — Umbrella Contract | rate: "&amp;TEXT(Config!$C$22,"0.0%"),IF(N37="G","Manager commission (0.7%)",IF(N37="D","Director commission (0.3%)",IF(N37="S",IFERROR(IF(INDEX('Commission Data — Sales'!$N$7:$N$205,A37-7+1)="Umbrella Contract","Umbrella Contract — your rate: "&amp;TEXT(Config!$C$21,"0.0%")&amp;IF(INDEX('Commission Data — Sales'!$AA$7:$AA$205,A37-7+1)&lt;&gt;""," | PM: "&amp;INDEX('Commission Data — Sales'!$AA$7:$AA$205,A37-7+1)&amp;" ("&amp;TEXT(Config!$C$22,"0.0%")&amp;")",""),IF(INDEX('Commission Data — Sales'!$O$7:$O$205,A37-7+1)=$D$2,IF(AND(INDEX('Commission Data — Sales'!$S$7:$S$205,A37-7+1)="",,INDEX('Commission Data — Sales'!$W$7:$W$205,A37-7+1)=""),"Sole PIC (100%)","Shared — your share: "&amp;TEXT(INDEX('Commission Data — Sales'!$P$7:$P$205,A37-7+1),"0%")),IF(INDEX('Commission Data — Sales'!$S$7:$S$205,A37-7+1)=$D$2,"Shared — your share: "&amp;TEXT(INDEX('Commission Data — Sales'!$T$7:$T$205,A37-7+1),"0%"),"Shared — your share: "&amp;TEXT(INDEX('Commission Data — Sales'!$X$7:$X$205,A37-7+1),"0%")))),""),IFERROR(IF(INDEX('Commission Data — Presales'!$N$7:$N$205,A37-7+1)=$D$2,IF(AND(INDEX('Commission Data — Presales'!$Q$7:$Q$205,A37-7+1)="",INDEX('Commission Data — Presales'!$T$7:$T$205,A37-7+1)=""),"Sole Presales (100%)","Shared — your share: "&amp;TEXT(INDEX('Commission Data — Presales'!$O$7:$O$205,A37-7+1),"0%")),IF(INDEX('Commission Data — Presales'!$Q$7:$Q$205,A37-7+1)=$D$2,"Shared — your share: "&amp;TEXT(INDEX('Commission Data — Presales'!$R$7:$R$205,A37-7+1),"0%"),"Shared — your share: "&amp;TEXT(INDEX('Commission Data — Presales'!$U$7:$U$205,A37-7+1),"0%"))),""))))),"")</f>
        <v/>
      </c>
      <c r="N37" t="str">
        <f>IFERROR(IF(INDEX(O4:O258,MATCH($D$2,O4:O258,0)+32)=$D$2,INDEX(P4:P258,MATCH($D$2,O4:O258,0)+32),""),"")</f>
        <v/>
      </c>
      <c r="O37" t="s">
        <v>151</v>
      </c>
      <c r="P37" t="s">
        <v>312</v>
      </c>
      <c r="Q37">
        <v>92</v>
      </c>
    </row>
    <row r="38" spans="1:17" ht="18" customHeight="1" x14ac:dyDescent="0.45">
      <c r="A38" s="83" t="str">
        <f>IFERROR(IF(INDEX(O4:O258,MATCH($D$2,O4:O258,0)+33)=$D$2,INDEX(Q4:Q258,MATCH($D$2,O4:O258,0)+33),""),"")</f>
        <v/>
      </c>
      <c r="B38" s="199" t="str">
        <f>IF(A38&lt;&gt;"",IF(OR(N38="S",N38="M",N38="G",N38="D"),INDEX('Commission Data — Sales'!$C$7:$C$205,A38-7+1),INDEX('Commission Data — Presales'!$C$7:$C$205,A38-7+1)),"")</f>
        <v/>
      </c>
      <c r="C38" s="199" t="str">
        <f>IF(A38&lt;&gt;"",IF(OR(N38="S",N38="M",N38="G",N38="D"),INDEX('Commission Data — Sales'!$D$7:$D$205,A38-7+1),INDEX('Commission Data — Presales'!$D$7:$D$205,A38-7+1)),"")</f>
        <v/>
      </c>
      <c r="D38" s="199" t="str">
        <f>IF(A38&lt;&gt;"",IF(OR(N38="S",N38="M",N38="G",N38="D"),INDEX('Commission Data — Sales'!$E$7:$E$205,A38-7+1),INDEX('Commission Data — Presales'!$E$7:$E$205,A38-7+1)),"")</f>
        <v/>
      </c>
      <c r="E38" s="199" t="str">
        <f>IF(A38&lt;&gt;"",IF(OR(N38="S",N38="M",N38="G",N38="D"),INDEX('Commission Data — Sales'!$G$7:$G$205,A38-7+1),INDEX('Commission Data — Presales'!$G$7:$G$205,A38-7+1)),"")</f>
        <v/>
      </c>
      <c r="F38" s="200" t="str">
        <f>IF(A38&lt;&gt;"",IF(OR(N38="S",N38="M",N38="G",N38="D"),INDEX('Commission Data — Sales'!$H$7:$H$205,A38-7+1),INDEX('Commission Data — Presales'!$H$7:$H$205,A38-7+1)),"")</f>
        <v/>
      </c>
      <c r="G38" s="201" t="str">
        <f>IF(A38&lt;&gt;"",IF(OR(N38="S",N38="M",N38="G",N38="D"),INDEX('Commission Data — Sales'!$N$7:$N$205,A38-7+1),"Presales"),"")</f>
        <v/>
      </c>
      <c r="H38" s="202" t="str">
        <f>IF(A38&lt;&gt;"",IF(OR(N38="S",N38="M",N38="G",N38="D"),INDEX('Commission Data — Sales'!$L$7:$L$205,A38-7+1),INDEX('Commission Data — Presales'!$L$7:$L$205,A38-7+1)),"")</f>
        <v/>
      </c>
      <c r="I38" s="203">
        <f>IF(A38&lt;&gt;"",IF(OR(N38="S",N38="M",N38="G",N38="D"),INDEX('Commission Data — Sales'!$M$7:$M$205,A38-7+1),INDEX('Commission Data — Presales'!$M$7:$M$205,A38-7+1)),0)</f>
        <v>0</v>
      </c>
      <c r="J38" s="204" t="str">
        <f>IF(A38&lt;&gt;"",IF(N38="M",Config!$C$22,IF(N38="G",Config!$C$23,IF(N38="D",Config!$C$24,IF(N38="S",IFERROR(IF(INDEX('Commission Data — Sales'!$O$7:$O$205,A38-7+1)=$D$2,INDEX('Commission Data — Sales'!$Q$7:$Q$205,A38-7+1)*INDEX('Commission Data — Sales'!$P$7:$P$205,A38-7+1),IF(INDEX('Commission Data — Sales'!$S$7:$S$205,A38-7+1)=$D$2,INDEX('Commission Data — Sales'!$U$7:$U$205,A38-7+1)*INDEX('Commission Data — Sales'!$T$7:$T$205,A38-7+1),INDEX('Commission Data — Sales'!$Y$7:$Y$205,A38-7+1)*INDEX('Commission Data — Sales'!$X$7:$X$205,A38-7+1))),0),IFERROR(IF(INDEX('Commission Data — Presales'!$N$7:$N$205,A38-7+1)=$D$2,Config!$C$25*INDEX('Commission Data — Presales'!$O$7:$O$205,A38-7+1),IF(INDEX('Commission Data — Presales'!$Q$7:$Q$205,A38-7+1)=$D$2,Config!$C$25*INDEX('Commission Data — Presales'!$R$7:$R$205,A38-7+1),Config!$C$25*INDEX('Commission Data — Presales'!$U$7:$U$205,A38-7+1))),0))))),"")</f>
        <v/>
      </c>
      <c r="K38" s="205" t="str">
        <f>IF(A38&lt;&gt;"",IF(N38="M",IFERROR(INDEX('Commission Data — Sales'!$AB$7:$AB$205,A38-7+1),0),IF(N38="G",IFERROR(INDEX('Commission Data — Sales'!$AD$7:$AD$205,A38-7+1),0),IF(N38="D",IFERROR(INDEX('Commission Data — Sales'!$AF$7:$AF$205,A38-7+1),0),IF(N38="S",IFERROR(IF(INDEX('Commission Data — Sales'!$O$7:$O$205,A38-7+1)=$D$2,INDEX('Commission Data — Sales'!$R$7:$R$205,A38-7+1),0)+IF(INDEX('Commission Data — Sales'!$S$7:$S$205,A38-7+1)=$D$2,INDEX('Commission Data — Sales'!$V$7:$V$205,A38-7+1),0)+IF(INDEX('Commission Data — Sales'!$W$7:$W$205,A38-7+1)=$D$2,INDEX('Commission Data — Sales'!$Z$7:$Z$205,A38-7+1),0),0),IFERROR(IF(INDEX('Commission Data — Presales'!$N$7:$N$205,A38-7+1)=$D$2,INDEX('Commission Data — Presales'!$P$7:$P$205,A38-7+1),0)+IF(INDEX('Commission Data — Presales'!$Q$7:$Q$205,A38-7+1)=$D$2,INDEX('Commission Data — Presales'!$S$7:$S$205,A38-7+1),0)+IF(INDEX('Commission Data — Presales'!$T$7:$T$205,A38-7+1)=$D$2,INDEX('Commission Data — Presales'!$V$7:$V$205,A38-7+1),0),0))))),"")</f>
        <v/>
      </c>
      <c r="L38" s="163" t="str">
        <f>IF(A38&lt;&gt;"",IF(N38="M",IFERROR(INDEX('Commission Data — Sales'!$AB$7:$AB$205,A38-7+1),0),IF(N38="G",IFERROR(INDEX('Commission Data — Sales'!$AD$7:$AD$205,A38-7+1),0),IF(N38="D",IFERROR(INDEX('Commission Data — Sales'!$AF$7:$AF$205,A38-7+1),0),IF(N38="S",IFERROR(IF(INDEX('Commission Data — Sales'!$O$7:$O$205,A38-7+1)=$D$2,INDEX('Commission Data — Sales'!$AQ$7:$AQ$205,A38-7+1),0)+IF(INDEX('Commission Data — Sales'!$S$7:$S$205,A38-7+1)=$D$2,INDEX('Commission Data — Sales'!$AR$7:$AR$205,A38-7+1),0)+IF(INDEX('Commission Data — Sales'!$W$7:$W$205,A38-7+1)=$D$2,INDEX('Commission Data — Sales'!$AS$7:$AS$205,A38-7+1),0),0),IFERROR(IF(INDEX('Commission Data — Presales'!$N$7:$N$205,A38-7+1)=$D$2,INDEX('Commission Data — Presales'!$P$7:$P$205,A38-7+1),0)+IF(INDEX('Commission Data — Presales'!$Q$7:$Q$205,A38-7+1)=$D$2,INDEX('Commission Data — Presales'!$S$7:$S$205,A38-7+1),0)+IF(INDEX('Commission Data — Presales'!$T$7:$T$205,A38-7+1)=$D$2,INDEX('Commission Data — Presales'!$V$7:$V$205,A38-7+1),0),0))))),"")</f>
        <v/>
      </c>
      <c r="M38" s="206" t="str">
        <f>IF(A38&lt;&gt;"",IF(N38="M","PM — Umbrella Contract | rate: "&amp;TEXT(Config!$C$22,"0.0%"),IF(N38="G","Manager commission (0.7%)",IF(N38="D","Director commission (0.3%)",IF(N38="S",IFERROR(IF(INDEX('Commission Data — Sales'!$N$7:$N$205,A38-7+1)="Umbrella Contract","Umbrella Contract — your rate: "&amp;TEXT(Config!$C$21,"0.0%")&amp;IF(INDEX('Commission Data — Sales'!$AA$7:$AA$205,A38-7+1)&lt;&gt;""," | PM: "&amp;INDEX('Commission Data — Sales'!$AA$7:$AA$205,A38-7+1)&amp;" ("&amp;TEXT(Config!$C$22,"0.0%")&amp;")",""),IF(INDEX('Commission Data — Sales'!$O$7:$O$205,A38-7+1)=$D$2,IF(AND(INDEX('Commission Data — Sales'!$S$7:$S$205,A38-7+1)="",,INDEX('Commission Data — Sales'!$W$7:$W$205,A38-7+1)=""),"Sole PIC (100%)","Shared — your share: "&amp;TEXT(INDEX('Commission Data — Sales'!$P$7:$P$205,A38-7+1),"0%")),IF(INDEX('Commission Data — Sales'!$S$7:$S$205,A38-7+1)=$D$2,"Shared — your share: "&amp;TEXT(INDEX('Commission Data — Sales'!$T$7:$T$205,A38-7+1),"0%"),"Shared — your share: "&amp;TEXT(INDEX('Commission Data — Sales'!$X$7:$X$205,A38-7+1),"0%")))),""),IFERROR(IF(INDEX('Commission Data — Presales'!$N$7:$N$205,A38-7+1)=$D$2,IF(AND(INDEX('Commission Data — Presales'!$Q$7:$Q$205,A38-7+1)="",INDEX('Commission Data — Presales'!$T$7:$T$205,A38-7+1)=""),"Sole Presales (100%)","Shared — your share: "&amp;TEXT(INDEX('Commission Data — Presales'!$O$7:$O$205,A38-7+1),"0%")),IF(INDEX('Commission Data — Presales'!$Q$7:$Q$205,A38-7+1)=$D$2,"Shared — your share: "&amp;TEXT(INDEX('Commission Data — Presales'!$R$7:$R$205,A38-7+1),"0%"),"Shared — your share: "&amp;TEXT(INDEX('Commission Data — Presales'!$U$7:$U$205,A38-7+1),"0%"))),""))))),"")</f>
        <v/>
      </c>
      <c r="N38" t="str">
        <f>IFERROR(IF(INDEX(O4:O258,MATCH($D$2,O4:O258,0)+33)=$D$2,INDEX(P4:P258,MATCH($D$2,O4:O258,0)+33),""),"")</f>
        <v/>
      </c>
      <c r="O38" t="s">
        <v>151</v>
      </c>
      <c r="P38" t="s">
        <v>312</v>
      </c>
      <c r="Q38">
        <v>93</v>
      </c>
    </row>
    <row r="39" spans="1:17" ht="18" customHeight="1" x14ac:dyDescent="0.45">
      <c r="A39" s="83" t="str">
        <f>IFERROR(IF(INDEX(O4:O258,MATCH($D$2,O4:O258,0)+34)=$D$2,INDEX(Q4:Q258,MATCH($D$2,O4:O258,0)+34),""),"")</f>
        <v/>
      </c>
      <c r="B39" s="191" t="str">
        <f>IF(A39&lt;&gt;"",IF(OR(N39="S",N39="M",N39="G",N39="D"),INDEX('Commission Data — Sales'!$C$7:$C$205,A39-7+1),INDEX('Commission Data — Presales'!$C$7:$C$205,A39-7+1)),"")</f>
        <v/>
      </c>
      <c r="C39" s="191" t="str">
        <f>IF(A39&lt;&gt;"",IF(OR(N39="S",N39="M",N39="G",N39="D"),INDEX('Commission Data — Sales'!$D$7:$D$205,A39-7+1),INDEX('Commission Data — Presales'!$D$7:$D$205,A39-7+1)),"")</f>
        <v/>
      </c>
      <c r="D39" s="191" t="str">
        <f>IF(A39&lt;&gt;"",IF(OR(N39="S",N39="M",N39="G",N39="D"),INDEX('Commission Data — Sales'!$E$7:$E$205,A39-7+1),INDEX('Commission Data — Presales'!$E$7:$E$205,A39-7+1)),"")</f>
        <v/>
      </c>
      <c r="E39" s="191" t="str">
        <f>IF(A39&lt;&gt;"",IF(OR(N39="S",N39="M",N39="G",N39="D"),INDEX('Commission Data — Sales'!$G$7:$G$205,A39-7+1),INDEX('Commission Data — Presales'!$G$7:$G$205,A39-7+1)),"")</f>
        <v/>
      </c>
      <c r="F39" s="192" t="str">
        <f>IF(A39&lt;&gt;"",IF(OR(N39="S",N39="M",N39="G",N39="D"),INDEX('Commission Data — Sales'!$H$7:$H$205,A39-7+1),INDEX('Commission Data — Presales'!$H$7:$H$205,A39-7+1)),"")</f>
        <v/>
      </c>
      <c r="G39" s="193" t="str">
        <f>IF(A39&lt;&gt;"",IF(OR(N39="S",N39="M",N39="G",N39="D"),INDEX('Commission Data — Sales'!$N$7:$N$205,A39-7+1),"Presales"),"")</f>
        <v/>
      </c>
      <c r="H39" s="194" t="str">
        <f>IF(A39&lt;&gt;"",IF(OR(N39="S",N39="M",N39="G",N39="D"),INDEX('Commission Data — Sales'!$L$7:$L$205,A39-7+1),INDEX('Commission Data — Presales'!$L$7:$L$205,A39-7+1)),"")</f>
        <v/>
      </c>
      <c r="I39" s="195">
        <f>IF(A39&lt;&gt;"",IF(OR(N39="S",N39="M",N39="G",N39="D"),INDEX('Commission Data — Sales'!$M$7:$M$205,A39-7+1),INDEX('Commission Data — Presales'!$M$7:$M$205,A39-7+1)),0)</f>
        <v>0</v>
      </c>
      <c r="J39" s="196" t="str">
        <f>IF(A39&lt;&gt;"",IF(N39="M",Config!$C$22,IF(N39="G",Config!$C$23,IF(N39="D",Config!$C$24,IF(N39="S",IFERROR(IF(INDEX('Commission Data — Sales'!$O$7:$O$205,A39-7+1)=$D$2,INDEX('Commission Data — Sales'!$Q$7:$Q$205,A39-7+1)*INDEX('Commission Data — Sales'!$P$7:$P$205,A39-7+1),IF(INDEX('Commission Data — Sales'!$S$7:$S$205,A39-7+1)=$D$2,INDEX('Commission Data — Sales'!$U$7:$U$205,A39-7+1)*INDEX('Commission Data — Sales'!$T$7:$T$205,A39-7+1),INDEX('Commission Data — Sales'!$Y$7:$Y$205,A39-7+1)*INDEX('Commission Data — Sales'!$X$7:$X$205,A39-7+1))),0),IFERROR(IF(INDEX('Commission Data — Presales'!$N$7:$N$205,A39-7+1)=$D$2,Config!$C$25*INDEX('Commission Data — Presales'!$O$7:$O$205,A39-7+1),IF(INDEX('Commission Data — Presales'!$Q$7:$Q$205,A39-7+1)=$D$2,Config!$C$25*INDEX('Commission Data — Presales'!$R$7:$R$205,A39-7+1),Config!$C$25*INDEX('Commission Data — Presales'!$U$7:$U$205,A39-7+1))),0))))),"")</f>
        <v/>
      </c>
      <c r="K39" s="197" t="str">
        <f>IF(A39&lt;&gt;"",IF(N39="M",IFERROR(INDEX('Commission Data — Sales'!$AB$7:$AB$205,A39-7+1),0),IF(N39="G",IFERROR(INDEX('Commission Data — Sales'!$AD$7:$AD$205,A39-7+1),0),IF(N39="D",IFERROR(INDEX('Commission Data — Sales'!$AF$7:$AF$205,A39-7+1),0),IF(N39="S",IFERROR(IF(INDEX('Commission Data — Sales'!$O$7:$O$205,A39-7+1)=$D$2,INDEX('Commission Data — Sales'!$R$7:$R$205,A39-7+1),0)+IF(INDEX('Commission Data — Sales'!$S$7:$S$205,A39-7+1)=$D$2,INDEX('Commission Data — Sales'!$V$7:$V$205,A39-7+1),0)+IF(INDEX('Commission Data — Sales'!$W$7:$W$205,A39-7+1)=$D$2,INDEX('Commission Data — Sales'!$Z$7:$Z$205,A39-7+1),0),0),IFERROR(IF(INDEX('Commission Data — Presales'!$N$7:$N$205,A39-7+1)=$D$2,INDEX('Commission Data — Presales'!$P$7:$P$205,A39-7+1),0)+IF(INDEX('Commission Data — Presales'!$Q$7:$Q$205,A39-7+1)=$D$2,INDEX('Commission Data — Presales'!$S$7:$S$205,A39-7+1),0)+IF(INDEX('Commission Data — Presales'!$T$7:$T$205,A39-7+1)=$D$2,INDEX('Commission Data — Presales'!$V$7:$V$205,A39-7+1),0),0))))),"")</f>
        <v/>
      </c>
      <c r="L39" s="155" t="str">
        <f>IF(A39&lt;&gt;"",IF(N39="M",IFERROR(INDEX('Commission Data — Sales'!$AB$7:$AB$205,A39-7+1),0),IF(N39="G",IFERROR(INDEX('Commission Data — Sales'!$AD$7:$AD$205,A39-7+1),0),IF(N39="D",IFERROR(INDEX('Commission Data — Sales'!$AF$7:$AF$205,A39-7+1),0),IF(N39="S",IFERROR(IF(INDEX('Commission Data — Sales'!$O$7:$O$205,A39-7+1)=$D$2,INDEX('Commission Data — Sales'!$AQ$7:$AQ$205,A39-7+1),0)+IF(INDEX('Commission Data — Sales'!$S$7:$S$205,A39-7+1)=$D$2,INDEX('Commission Data — Sales'!$AR$7:$AR$205,A39-7+1),0)+IF(INDEX('Commission Data — Sales'!$W$7:$W$205,A39-7+1)=$D$2,INDEX('Commission Data — Sales'!$AS$7:$AS$205,A39-7+1),0),0),IFERROR(IF(INDEX('Commission Data — Presales'!$N$7:$N$205,A39-7+1)=$D$2,INDEX('Commission Data — Presales'!$P$7:$P$205,A39-7+1),0)+IF(INDEX('Commission Data — Presales'!$Q$7:$Q$205,A39-7+1)=$D$2,INDEX('Commission Data — Presales'!$S$7:$S$205,A39-7+1),0)+IF(INDEX('Commission Data — Presales'!$T$7:$T$205,A39-7+1)=$D$2,INDEX('Commission Data — Presales'!$V$7:$V$205,A39-7+1),0),0))))),"")</f>
        <v/>
      </c>
      <c r="M39" s="198" t="str">
        <f>IF(A39&lt;&gt;"",IF(N39="M","PM — Umbrella Contract | rate: "&amp;TEXT(Config!$C$22,"0.0%"),IF(N39="G","Manager commission (0.7%)",IF(N39="D","Director commission (0.3%)",IF(N39="S",IFERROR(IF(INDEX('Commission Data — Sales'!$N$7:$N$205,A39-7+1)="Umbrella Contract","Umbrella Contract — your rate: "&amp;TEXT(Config!$C$21,"0.0%")&amp;IF(INDEX('Commission Data — Sales'!$AA$7:$AA$205,A39-7+1)&lt;&gt;""," | PM: "&amp;INDEX('Commission Data — Sales'!$AA$7:$AA$205,A39-7+1)&amp;" ("&amp;TEXT(Config!$C$22,"0.0%")&amp;")",""),IF(INDEX('Commission Data — Sales'!$O$7:$O$205,A39-7+1)=$D$2,IF(AND(INDEX('Commission Data — Sales'!$S$7:$S$205,A39-7+1)="",,INDEX('Commission Data — Sales'!$W$7:$W$205,A39-7+1)=""),"Sole PIC (100%)","Shared — your share: "&amp;TEXT(INDEX('Commission Data — Sales'!$P$7:$P$205,A39-7+1),"0%")),IF(INDEX('Commission Data — Sales'!$S$7:$S$205,A39-7+1)=$D$2,"Shared — your share: "&amp;TEXT(INDEX('Commission Data — Sales'!$T$7:$T$205,A39-7+1),"0%"),"Shared — your share: "&amp;TEXT(INDEX('Commission Data — Sales'!$X$7:$X$205,A39-7+1),"0%")))),""),IFERROR(IF(INDEX('Commission Data — Presales'!$N$7:$N$205,A39-7+1)=$D$2,IF(AND(INDEX('Commission Data — Presales'!$Q$7:$Q$205,A39-7+1)="",INDEX('Commission Data — Presales'!$T$7:$T$205,A39-7+1)=""),"Sole Presales (100%)","Shared — your share: "&amp;TEXT(INDEX('Commission Data — Presales'!$O$7:$O$205,A39-7+1),"0%")),IF(INDEX('Commission Data — Presales'!$Q$7:$Q$205,A39-7+1)=$D$2,"Shared — your share: "&amp;TEXT(INDEX('Commission Data — Presales'!$R$7:$R$205,A39-7+1),"0%"),"Shared — your share: "&amp;TEXT(INDEX('Commission Data — Presales'!$U$7:$U$205,A39-7+1),"0%"))),""))))),"")</f>
        <v/>
      </c>
      <c r="N39" t="str">
        <f>IFERROR(IF(INDEX(O4:O258,MATCH($D$2,O4:O258,0)+34)=$D$2,INDEX(P4:P258,MATCH($D$2,O4:O258,0)+34),""),"")</f>
        <v/>
      </c>
      <c r="O39" t="s">
        <v>151</v>
      </c>
      <c r="P39" t="s">
        <v>312</v>
      </c>
      <c r="Q39">
        <v>94</v>
      </c>
    </row>
    <row r="40" spans="1:17" ht="18" customHeight="1" x14ac:dyDescent="0.45">
      <c r="A40" s="83" t="str">
        <f>IFERROR(IF(INDEX(O4:O258,MATCH($D$2,O4:O258,0)+35)=$D$2,INDEX(Q4:Q258,MATCH($D$2,O4:O258,0)+35),""),"")</f>
        <v/>
      </c>
      <c r="B40" s="199" t="str">
        <f>IF(A40&lt;&gt;"",IF(OR(N40="S",N40="M",N40="G",N40="D"),INDEX('Commission Data — Sales'!$C$7:$C$205,A40-7+1),INDEX('Commission Data — Presales'!$C$7:$C$205,A40-7+1)),"")</f>
        <v/>
      </c>
      <c r="C40" s="199" t="str">
        <f>IF(A40&lt;&gt;"",IF(OR(N40="S",N40="M",N40="G",N40="D"),INDEX('Commission Data — Sales'!$D$7:$D$205,A40-7+1),INDEX('Commission Data — Presales'!$D$7:$D$205,A40-7+1)),"")</f>
        <v/>
      </c>
      <c r="D40" s="199" t="str">
        <f>IF(A40&lt;&gt;"",IF(OR(N40="S",N40="M",N40="G",N40="D"),INDEX('Commission Data — Sales'!$E$7:$E$205,A40-7+1),INDEX('Commission Data — Presales'!$E$7:$E$205,A40-7+1)),"")</f>
        <v/>
      </c>
      <c r="E40" s="199" t="str">
        <f>IF(A40&lt;&gt;"",IF(OR(N40="S",N40="M",N40="G",N40="D"),INDEX('Commission Data — Sales'!$G$7:$G$205,A40-7+1),INDEX('Commission Data — Presales'!$G$7:$G$205,A40-7+1)),"")</f>
        <v/>
      </c>
      <c r="F40" s="200" t="str">
        <f>IF(A40&lt;&gt;"",IF(OR(N40="S",N40="M",N40="G",N40="D"),INDEX('Commission Data — Sales'!$H$7:$H$205,A40-7+1),INDEX('Commission Data — Presales'!$H$7:$H$205,A40-7+1)),"")</f>
        <v/>
      </c>
      <c r="G40" s="201" t="str">
        <f>IF(A40&lt;&gt;"",IF(OR(N40="S",N40="M",N40="G",N40="D"),INDEX('Commission Data — Sales'!$N$7:$N$205,A40-7+1),"Presales"),"")</f>
        <v/>
      </c>
      <c r="H40" s="202" t="str">
        <f>IF(A40&lt;&gt;"",IF(OR(N40="S",N40="M",N40="G",N40="D"),INDEX('Commission Data — Sales'!$L$7:$L$205,A40-7+1),INDEX('Commission Data — Presales'!$L$7:$L$205,A40-7+1)),"")</f>
        <v/>
      </c>
      <c r="I40" s="203">
        <f>IF(A40&lt;&gt;"",IF(OR(N40="S",N40="M",N40="G",N40="D"),INDEX('Commission Data — Sales'!$M$7:$M$205,A40-7+1),INDEX('Commission Data — Presales'!$M$7:$M$205,A40-7+1)),0)</f>
        <v>0</v>
      </c>
      <c r="J40" s="204" t="str">
        <f>IF(A40&lt;&gt;"",IF(N40="M",Config!$C$22,IF(N40="G",Config!$C$23,IF(N40="D",Config!$C$24,IF(N40="S",IFERROR(IF(INDEX('Commission Data — Sales'!$O$7:$O$205,A40-7+1)=$D$2,INDEX('Commission Data — Sales'!$Q$7:$Q$205,A40-7+1)*INDEX('Commission Data — Sales'!$P$7:$P$205,A40-7+1),IF(INDEX('Commission Data — Sales'!$S$7:$S$205,A40-7+1)=$D$2,INDEX('Commission Data — Sales'!$U$7:$U$205,A40-7+1)*INDEX('Commission Data — Sales'!$T$7:$T$205,A40-7+1),INDEX('Commission Data — Sales'!$Y$7:$Y$205,A40-7+1)*INDEX('Commission Data — Sales'!$X$7:$X$205,A40-7+1))),0),IFERROR(IF(INDEX('Commission Data — Presales'!$N$7:$N$205,A40-7+1)=$D$2,Config!$C$25*INDEX('Commission Data — Presales'!$O$7:$O$205,A40-7+1),IF(INDEX('Commission Data — Presales'!$Q$7:$Q$205,A40-7+1)=$D$2,Config!$C$25*INDEX('Commission Data — Presales'!$R$7:$R$205,A40-7+1),Config!$C$25*INDEX('Commission Data — Presales'!$U$7:$U$205,A40-7+1))),0))))),"")</f>
        <v/>
      </c>
      <c r="K40" s="205" t="str">
        <f>IF(A40&lt;&gt;"",IF(N40="M",IFERROR(INDEX('Commission Data — Sales'!$AB$7:$AB$205,A40-7+1),0),IF(N40="G",IFERROR(INDEX('Commission Data — Sales'!$AD$7:$AD$205,A40-7+1),0),IF(N40="D",IFERROR(INDEX('Commission Data — Sales'!$AF$7:$AF$205,A40-7+1),0),IF(N40="S",IFERROR(IF(INDEX('Commission Data — Sales'!$O$7:$O$205,A40-7+1)=$D$2,INDEX('Commission Data — Sales'!$R$7:$R$205,A40-7+1),0)+IF(INDEX('Commission Data — Sales'!$S$7:$S$205,A40-7+1)=$D$2,INDEX('Commission Data — Sales'!$V$7:$V$205,A40-7+1),0)+IF(INDEX('Commission Data — Sales'!$W$7:$W$205,A40-7+1)=$D$2,INDEX('Commission Data — Sales'!$Z$7:$Z$205,A40-7+1),0),0),IFERROR(IF(INDEX('Commission Data — Presales'!$N$7:$N$205,A40-7+1)=$D$2,INDEX('Commission Data — Presales'!$P$7:$P$205,A40-7+1),0)+IF(INDEX('Commission Data — Presales'!$Q$7:$Q$205,A40-7+1)=$D$2,INDEX('Commission Data — Presales'!$S$7:$S$205,A40-7+1),0)+IF(INDEX('Commission Data — Presales'!$T$7:$T$205,A40-7+1)=$D$2,INDEX('Commission Data — Presales'!$V$7:$V$205,A40-7+1),0),0))))),"")</f>
        <v/>
      </c>
      <c r="L40" s="163" t="str">
        <f>IF(A40&lt;&gt;"",IF(N40="M",IFERROR(INDEX('Commission Data — Sales'!$AB$7:$AB$205,A40-7+1),0),IF(N40="G",IFERROR(INDEX('Commission Data — Sales'!$AD$7:$AD$205,A40-7+1),0),IF(N40="D",IFERROR(INDEX('Commission Data — Sales'!$AF$7:$AF$205,A40-7+1),0),IF(N40="S",IFERROR(IF(INDEX('Commission Data — Sales'!$O$7:$O$205,A40-7+1)=$D$2,INDEX('Commission Data — Sales'!$AQ$7:$AQ$205,A40-7+1),0)+IF(INDEX('Commission Data — Sales'!$S$7:$S$205,A40-7+1)=$D$2,INDEX('Commission Data — Sales'!$AR$7:$AR$205,A40-7+1),0)+IF(INDEX('Commission Data — Sales'!$W$7:$W$205,A40-7+1)=$D$2,INDEX('Commission Data — Sales'!$AS$7:$AS$205,A40-7+1),0),0),IFERROR(IF(INDEX('Commission Data — Presales'!$N$7:$N$205,A40-7+1)=$D$2,INDEX('Commission Data — Presales'!$P$7:$P$205,A40-7+1),0)+IF(INDEX('Commission Data — Presales'!$Q$7:$Q$205,A40-7+1)=$D$2,INDEX('Commission Data — Presales'!$S$7:$S$205,A40-7+1),0)+IF(INDEX('Commission Data — Presales'!$T$7:$T$205,A40-7+1)=$D$2,INDEX('Commission Data — Presales'!$V$7:$V$205,A40-7+1),0),0))))),"")</f>
        <v/>
      </c>
      <c r="M40" s="206" t="str">
        <f>IF(A40&lt;&gt;"",IF(N40="M","PM — Umbrella Contract | rate: "&amp;TEXT(Config!$C$22,"0.0%"),IF(N40="G","Manager commission (0.7%)",IF(N40="D","Director commission (0.3%)",IF(N40="S",IFERROR(IF(INDEX('Commission Data — Sales'!$N$7:$N$205,A40-7+1)="Umbrella Contract","Umbrella Contract — your rate: "&amp;TEXT(Config!$C$21,"0.0%")&amp;IF(INDEX('Commission Data — Sales'!$AA$7:$AA$205,A40-7+1)&lt;&gt;""," | PM: "&amp;INDEX('Commission Data — Sales'!$AA$7:$AA$205,A40-7+1)&amp;" ("&amp;TEXT(Config!$C$22,"0.0%")&amp;")",""),IF(INDEX('Commission Data — Sales'!$O$7:$O$205,A40-7+1)=$D$2,IF(AND(INDEX('Commission Data — Sales'!$S$7:$S$205,A40-7+1)="",,INDEX('Commission Data — Sales'!$W$7:$W$205,A40-7+1)=""),"Sole PIC (100%)","Shared — your share: "&amp;TEXT(INDEX('Commission Data — Sales'!$P$7:$P$205,A40-7+1),"0%")),IF(INDEX('Commission Data — Sales'!$S$7:$S$205,A40-7+1)=$D$2,"Shared — your share: "&amp;TEXT(INDEX('Commission Data — Sales'!$T$7:$T$205,A40-7+1),"0%"),"Shared — your share: "&amp;TEXT(INDEX('Commission Data — Sales'!$X$7:$X$205,A40-7+1),"0%")))),""),IFERROR(IF(INDEX('Commission Data — Presales'!$N$7:$N$205,A40-7+1)=$D$2,IF(AND(INDEX('Commission Data — Presales'!$Q$7:$Q$205,A40-7+1)="",INDEX('Commission Data — Presales'!$T$7:$T$205,A40-7+1)=""),"Sole Presales (100%)","Shared — your share: "&amp;TEXT(INDEX('Commission Data — Presales'!$O$7:$O$205,A40-7+1),"0%")),IF(INDEX('Commission Data — Presales'!$Q$7:$Q$205,A40-7+1)=$D$2,"Shared — your share: "&amp;TEXT(INDEX('Commission Data — Presales'!$R$7:$R$205,A40-7+1),"0%"),"Shared — your share: "&amp;TEXT(INDEX('Commission Data — Presales'!$U$7:$U$205,A40-7+1),"0%"))),""))))),"")</f>
        <v/>
      </c>
      <c r="N40" t="str">
        <f>IFERROR(IF(INDEX(O4:O258,MATCH($D$2,O4:O258,0)+35)=$D$2,INDEX(P4:P258,MATCH($D$2,O4:O258,0)+35),""),"")</f>
        <v/>
      </c>
      <c r="O40" t="s">
        <v>151</v>
      </c>
      <c r="P40" t="s">
        <v>312</v>
      </c>
      <c r="Q40">
        <v>123</v>
      </c>
    </row>
    <row r="41" spans="1:17" ht="15" customHeight="1" x14ac:dyDescent="0.45">
      <c r="O41" t="s">
        <v>151</v>
      </c>
      <c r="P41" t="s">
        <v>312</v>
      </c>
      <c r="Q41">
        <v>124</v>
      </c>
    </row>
    <row r="42" spans="1:17" ht="18" customHeight="1" x14ac:dyDescent="0.45">
      <c r="J42" s="255" t="s">
        <v>313</v>
      </c>
      <c r="K42" s="255"/>
      <c r="L42" s="255"/>
      <c r="M42" s="207">
        <f>SUMPRODUCT((B5:B40&lt;&gt;"")*1)</f>
        <v>3</v>
      </c>
      <c r="O42" t="s">
        <v>151</v>
      </c>
      <c r="P42" t="s">
        <v>312</v>
      </c>
      <c r="Q42">
        <v>132</v>
      </c>
    </row>
    <row r="43" spans="1:17" ht="18" customHeight="1" x14ac:dyDescent="0.45">
      <c r="J43" s="255" t="s">
        <v>314</v>
      </c>
      <c r="K43" s="255"/>
      <c r="L43" s="255"/>
      <c r="M43" s="112">
        <f>SUMIF(A5:A40,"&lt;&gt;",I5:I40)</f>
        <v>0</v>
      </c>
      <c r="O43" t="s">
        <v>151</v>
      </c>
      <c r="P43" t="s">
        <v>312</v>
      </c>
      <c r="Q43">
        <v>133</v>
      </c>
    </row>
    <row r="44" spans="1:17" ht="18" customHeight="1" x14ac:dyDescent="0.45">
      <c r="J44" s="255" t="s">
        <v>315</v>
      </c>
      <c r="K44" s="255"/>
      <c r="L44" s="255"/>
      <c r="M44" s="112">
        <f>SUMIF(A5:A40,"&lt;&gt;",K5:K40)</f>
        <v>0</v>
      </c>
      <c r="O44" t="s">
        <v>151</v>
      </c>
      <c r="P44" t="s">
        <v>312</v>
      </c>
      <c r="Q44">
        <v>134</v>
      </c>
    </row>
    <row r="45" spans="1:17" ht="18" customHeight="1" x14ac:dyDescent="0.45">
      <c r="J45" s="256" t="s">
        <v>316</v>
      </c>
      <c r="K45" s="256"/>
      <c r="L45" s="256"/>
      <c r="M45" s="208">
        <f>IFERROR(SUMIF('Commission Data — Sales'!$AC$7:$AC$149,$D$2,'Commission Data — Sales'!$AD$7:$AD$149)+SUMIF('Commission Data — Sales'!$AE$7:$AE$149,$D$2,'Commission Data — Sales'!$AF$7:$AF$149),0)</f>
        <v>0</v>
      </c>
      <c r="O45" t="s">
        <v>151</v>
      </c>
      <c r="P45" t="s">
        <v>312</v>
      </c>
      <c r="Q45">
        <v>135</v>
      </c>
    </row>
    <row r="46" spans="1:17" ht="21.75" customHeight="1" x14ac:dyDescent="0.45">
      <c r="J46" s="257" t="s">
        <v>317</v>
      </c>
      <c r="K46" s="257"/>
      <c r="L46" s="257"/>
      <c r="M46" s="209">
        <f>SUMIF(A5:A40,"&lt;&gt;",L5:L40)+M45</f>
        <v>0</v>
      </c>
      <c r="O46" t="s">
        <v>151</v>
      </c>
      <c r="P46" t="s">
        <v>312</v>
      </c>
      <c r="Q46">
        <v>141</v>
      </c>
    </row>
    <row r="47" spans="1:17" ht="24" customHeight="1" x14ac:dyDescent="0.45">
      <c r="J47" s="258" t="s">
        <v>318</v>
      </c>
      <c r="K47" s="258"/>
      <c r="L47" s="258"/>
      <c r="M47" s="258"/>
      <c r="O47" t="s">
        <v>151</v>
      </c>
      <c r="P47" t="s">
        <v>312</v>
      </c>
      <c r="Q47">
        <v>142</v>
      </c>
    </row>
    <row r="48" spans="1:17" ht="15" customHeight="1" x14ac:dyDescent="0.45">
      <c r="B48" s="210"/>
      <c r="O48" t="s">
        <v>151</v>
      </c>
      <c r="P48" t="s">
        <v>312</v>
      </c>
      <c r="Q48">
        <v>143</v>
      </c>
    </row>
    <row r="49" spans="1:17" ht="15" customHeight="1" x14ac:dyDescent="0.45">
      <c r="A49" s="211"/>
      <c r="B49" s="212"/>
      <c r="O49" t="s">
        <v>154</v>
      </c>
      <c r="P49" t="s">
        <v>312</v>
      </c>
      <c r="Q49">
        <v>95</v>
      </c>
    </row>
    <row r="50" spans="1:17" ht="15" customHeight="1" x14ac:dyDescent="0.45">
      <c r="A50" s="211"/>
      <c r="B50" s="213"/>
      <c r="C50" s="213"/>
      <c r="D50" s="213"/>
      <c r="E50" s="213"/>
      <c r="F50" s="214"/>
      <c r="G50" s="215"/>
      <c r="H50" s="216"/>
      <c r="I50" s="217"/>
      <c r="J50" s="218"/>
      <c r="K50" s="219"/>
      <c r="L50" s="219"/>
      <c r="M50" s="23"/>
      <c r="O50" t="s">
        <v>154</v>
      </c>
      <c r="P50" t="s">
        <v>312</v>
      </c>
      <c r="Q50">
        <v>116</v>
      </c>
    </row>
    <row r="51" spans="1:17" ht="15" customHeight="1" x14ac:dyDescent="0.45">
      <c r="A51" s="211"/>
      <c r="B51" s="213"/>
      <c r="C51" s="213"/>
      <c r="D51" s="213"/>
      <c r="E51" s="213"/>
      <c r="F51" s="214"/>
      <c r="G51" s="215"/>
      <c r="H51" s="216"/>
      <c r="I51" s="217"/>
      <c r="J51" s="218"/>
      <c r="K51" s="219"/>
      <c r="L51" s="219"/>
      <c r="M51" s="23"/>
      <c r="O51" t="s">
        <v>154</v>
      </c>
      <c r="P51" t="s">
        <v>312</v>
      </c>
      <c r="Q51">
        <v>117</v>
      </c>
    </row>
    <row r="52" spans="1:17" ht="15" customHeight="1" x14ac:dyDescent="0.45">
      <c r="A52" s="211"/>
      <c r="B52" s="213"/>
      <c r="C52" s="213"/>
      <c r="D52" s="213"/>
      <c r="E52" s="213"/>
      <c r="F52" s="214"/>
      <c r="G52" s="215"/>
      <c r="H52" s="216"/>
      <c r="I52" s="217"/>
      <c r="J52" s="218"/>
      <c r="K52" s="219"/>
      <c r="L52" s="219"/>
      <c r="M52" s="23"/>
      <c r="O52" t="s">
        <v>154</v>
      </c>
      <c r="P52" t="s">
        <v>312</v>
      </c>
      <c r="Q52">
        <v>121</v>
      </c>
    </row>
    <row r="53" spans="1:17" ht="15" customHeight="1" x14ac:dyDescent="0.45">
      <c r="A53" s="211"/>
      <c r="B53" s="213"/>
      <c r="C53" s="213"/>
      <c r="D53" s="213"/>
      <c r="E53" s="213"/>
      <c r="F53" s="214"/>
      <c r="G53" s="215"/>
      <c r="H53" s="216"/>
      <c r="I53" s="217"/>
      <c r="J53" s="218"/>
      <c r="K53" s="219"/>
      <c r="L53" s="219"/>
      <c r="M53" s="23"/>
      <c r="O53" t="s">
        <v>154</v>
      </c>
      <c r="P53" t="s">
        <v>312</v>
      </c>
      <c r="Q53">
        <v>122</v>
      </c>
    </row>
    <row r="54" spans="1:17" ht="15" customHeight="1" x14ac:dyDescent="0.45">
      <c r="A54" s="211"/>
      <c r="B54" s="213"/>
      <c r="C54" s="213"/>
      <c r="D54" s="213"/>
      <c r="E54" s="213"/>
      <c r="F54" s="214"/>
      <c r="G54" s="215"/>
      <c r="H54" s="216"/>
      <c r="I54" s="217"/>
      <c r="J54" s="218"/>
      <c r="K54" s="219"/>
      <c r="L54" s="219"/>
      <c r="M54" s="23"/>
      <c r="O54" t="s">
        <v>147</v>
      </c>
      <c r="P54" t="s">
        <v>319</v>
      </c>
      <c r="Q54">
        <v>12</v>
      </c>
    </row>
    <row r="55" spans="1:17" ht="15" customHeight="1" x14ac:dyDescent="0.45">
      <c r="A55" s="211"/>
      <c r="B55" s="213"/>
      <c r="C55" s="213"/>
      <c r="D55" s="213"/>
      <c r="E55" s="213"/>
      <c r="F55" s="214"/>
      <c r="G55" s="215"/>
      <c r="H55" s="216"/>
      <c r="I55" s="217"/>
      <c r="J55" s="218"/>
      <c r="K55" s="219"/>
      <c r="L55" s="219"/>
      <c r="M55" s="23"/>
      <c r="O55" t="s">
        <v>147</v>
      </c>
      <c r="P55" t="s">
        <v>319</v>
      </c>
      <c r="Q55">
        <v>23</v>
      </c>
    </row>
    <row r="56" spans="1:17" ht="15" customHeight="1" x14ac:dyDescent="0.45">
      <c r="A56" s="211"/>
      <c r="B56" s="213"/>
      <c r="C56" s="213"/>
      <c r="D56" s="213"/>
      <c r="E56" s="213"/>
      <c r="F56" s="214"/>
      <c r="G56" s="215"/>
      <c r="H56" s="216"/>
      <c r="I56" s="217"/>
      <c r="J56" s="218"/>
      <c r="K56" s="219"/>
      <c r="L56" s="219"/>
      <c r="M56" s="23"/>
      <c r="O56" t="s">
        <v>147</v>
      </c>
      <c r="P56" t="s">
        <v>319</v>
      </c>
      <c r="Q56">
        <v>24</v>
      </c>
    </row>
    <row r="57" spans="1:17" ht="15" customHeight="1" x14ac:dyDescent="0.45">
      <c r="A57" s="211"/>
      <c r="B57" s="213"/>
      <c r="C57" s="213"/>
      <c r="D57" s="213"/>
      <c r="E57" s="213"/>
      <c r="F57" s="214"/>
      <c r="G57" s="215"/>
      <c r="H57" s="216"/>
      <c r="I57" s="217"/>
      <c r="J57" s="218"/>
      <c r="K57" s="219"/>
      <c r="L57" s="219"/>
      <c r="M57" s="23"/>
      <c r="O57" t="s">
        <v>147</v>
      </c>
      <c r="P57" t="s">
        <v>319</v>
      </c>
      <c r="Q57">
        <v>25</v>
      </c>
    </row>
    <row r="58" spans="1:17" ht="15" customHeight="1" x14ac:dyDescent="0.45">
      <c r="A58" s="211"/>
      <c r="B58" s="213"/>
      <c r="C58" s="213"/>
      <c r="D58" s="213"/>
      <c r="E58" s="213"/>
      <c r="F58" s="214"/>
      <c r="G58" s="215"/>
      <c r="H58" s="216"/>
      <c r="I58" s="217"/>
      <c r="J58" s="218"/>
      <c r="K58" s="219"/>
      <c r="L58" s="219"/>
      <c r="M58" s="23"/>
      <c r="O58" t="s">
        <v>147</v>
      </c>
      <c r="P58" t="s">
        <v>319</v>
      </c>
      <c r="Q58">
        <v>26</v>
      </c>
    </row>
    <row r="59" spans="1:17" ht="15" customHeight="1" x14ac:dyDescent="0.45">
      <c r="A59" s="211"/>
      <c r="B59" s="213"/>
      <c r="C59" s="213"/>
      <c r="D59" s="213"/>
      <c r="E59" s="213"/>
      <c r="F59" s="214"/>
      <c r="G59" s="215"/>
      <c r="H59" s="216"/>
      <c r="I59" s="217"/>
      <c r="J59" s="218"/>
      <c r="K59" s="219"/>
      <c r="L59" s="219"/>
      <c r="M59" s="23"/>
      <c r="O59" t="s">
        <v>147</v>
      </c>
      <c r="P59" t="s">
        <v>319</v>
      </c>
      <c r="Q59">
        <v>27</v>
      </c>
    </row>
    <row r="60" spans="1:17" ht="15" customHeight="1" x14ac:dyDescent="0.45">
      <c r="A60" s="211"/>
      <c r="B60" s="213"/>
      <c r="C60" s="213"/>
      <c r="D60" s="213"/>
      <c r="E60" s="213"/>
      <c r="F60" s="214"/>
      <c r="G60" s="215"/>
      <c r="H60" s="216"/>
      <c r="I60" s="217"/>
      <c r="J60" s="218"/>
      <c r="K60" s="219"/>
      <c r="L60" s="219"/>
      <c r="M60" s="23"/>
      <c r="O60" t="s">
        <v>147</v>
      </c>
      <c r="P60" t="s">
        <v>319</v>
      </c>
      <c r="Q60">
        <v>28</v>
      </c>
    </row>
    <row r="61" spans="1:17" ht="15" customHeight="1" x14ac:dyDescent="0.45">
      <c r="A61" s="211"/>
      <c r="B61" s="213"/>
      <c r="C61" s="213"/>
      <c r="D61" s="213"/>
      <c r="E61" s="213"/>
      <c r="F61" s="214"/>
      <c r="G61" s="215"/>
      <c r="H61" s="216"/>
      <c r="I61" s="217"/>
      <c r="J61" s="218"/>
      <c r="K61" s="219"/>
      <c r="L61" s="219"/>
      <c r="M61" s="23"/>
      <c r="O61" t="s">
        <v>147</v>
      </c>
      <c r="P61" t="s">
        <v>319</v>
      </c>
      <c r="Q61">
        <v>29</v>
      </c>
    </row>
    <row r="62" spans="1:17" ht="15" customHeight="1" x14ac:dyDescent="0.45">
      <c r="A62" s="211"/>
      <c r="B62" s="213"/>
      <c r="C62" s="213"/>
      <c r="D62" s="213"/>
      <c r="E62" s="213"/>
      <c r="F62" s="214"/>
      <c r="G62" s="215"/>
      <c r="H62" s="216"/>
      <c r="I62" s="217"/>
      <c r="J62" s="218"/>
      <c r="K62" s="219"/>
      <c r="L62" s="219"/>
      <c r="M62" s="23"/>
      <c r="O62" t="s">
        <v>147</v>
      </c>
      <c r="P62" t="s">
        <v>319</v>
      </c>
      <c r="Q62">
        <v>30</v>
      </c>
    </row>
    <row r="63" spans="1:17" ht="15" customHeight="1" x14ac:dyDescent="0.45">
      <c r="A63" s="211"/>
      <c r="B63" s="213"/>
      <c r="C63" s="213"/>
      <c r="D63" s="213"/>
      <c r="E63" s="213"/>
      <c r="F63" s="214"/>
      <c r="G63" s="215"/>
      <c r="H63" s="216"/>
      <c r="I63" s="217"/>
      <c r="J63" s="218"/>
      <c r="K63" s="219"/>
      <c r="L63" s="219"/>
      <c r="M63" s="23"/>
      <c r="O63" t="s">
        <v>147</v>
      </c>
      <c r="P63" t="s">
        <v>319</v>
      </c>
      <c r="Q63">
        <v>31</v>
      </c>
    </row>
    <row r="64" spans="1:17" ht="15" customHeight="1" x14ac:dyDescent="0.45">
      <c r="A64" s="211"/>
      <c r="B64" s="213"/>
      <c r="C64" s="213"/>
      <c r="D64" s="213"/>
      <c r="E64" s="213"/>
      <c r="F64" s="214"/>
      <c r="G64" s="215"/>
      <c r="H64" s="216"/>
      <c r="I64" s="217"/>
      <c r="J64" s="218"/>
      <c r="K64" s="219"/>
      <c r="L64" s="219"/>
      <c r="M64" s="23"/>
      <c r="O64" t="s">
        <v>147</v>
      </c>
      <c r="P64" t="s">
        <v>319</v>
      </c>
      <c r="Q64">
        <v>32</v>
      </c>
    </row>
    <row r="65" spans="1:17" ht="15" customHeight="1" x14ac:dyDescent="0.45">
      <c r="A65" s="211"/>
      <c r="B65" s="213"/>
      <c r="C65" s="213"/>
      <c r="D65" s="213"/>
      <c r="E65" s="213"/>
      <c r="F65" s="214"/>
      <c r="G65" s="215"/>
      <c r="H65" s="216"/>
      <c r="I65" s="217"/>
      <c r="J65" s="218"/>
      <c r="K65" s="219"/>
      <c r="L65" s="219"/>
      <c r="M65" s="23"/>
      <c r="O65" t="s">
        <v>147</v>
      </c>
      <c r="P65" t="s">
        <v>319</v>
      </c>
      <c r="Q65">
        <v>33</v>
      </c>
    </row>
    <row r="66" spans="1:17" ht="15" customHeight="1" x14ac:dyDescent="0.45">
      <c r="A66" s="211"/>
      <c r="B66" s="213"/>
      <c r="C66" s="213"/>
      <c r="D66" s="213"/>
      <c r="E66" s="213"/>
      <c r="F66" s="214"/>
      <c r="G66" s="215"/>
      <c r="H66" s="216"/>
      <c r="I66" s="217"/>
      <c r="J66" s="218"/>
      <c r="K66" s="219"/>
      <c r="L66" s="219"/>
      <c r="M66" s="23"/>
      <c r="O66" t="s">
        <v>147</v>
      </c>
      <c r="P66" t="s">
        <v>319</v>
      </c>
      <c r="Q66">
        <v>34</v>
      </c>
    </row>
    <row r="67" spans="1:17" ht="15" customHeight="1" x14ac:dyDescent="0.45">
      <c r="A67" s="211"/>
      <c r="B67" s="213"/>
      <c r="C67" s="213"/>
      <c r="D67" s="213"/>
      <c r="E67" s="213"/>
      <c r="F67" s="214"/>
      <c r="G67" s="215"/>
      <c r="H67" s="216"/>
      <c r="I67" s="217"/>
      <c r="J67" s="218"/>
      <c r="K67" s="219"/>
      <c r="L67" s="219"/>
      <c r="M67" s="23"/>
      <c r="O67" t="s">
        <v>147</v>
      </c>
      <c r="P67" t="s">
        <v>319</v>
      </c>
      <c r="Q67">
        <v>35</v>
      </c>
    </row>
    <row r="68" spans="1:17" ht="15" customHeight="1" x14ac:dyDescent="0.45">
      <c r="A68" s="211"/>
      <c r="B68" s="213"/>
      <c r="C68" s="213"/>
      <c r="D68" s="213"/>
      <c r="E68" s="213"/>
      <c r="F68" s="214"/>
      <c r="G68" s="215"/>
      <c r="H68" s="216"/>
      <c r="I68" s="217"/>
      <c r="J68" s="218"/>
      <c r="K68" s="219"/>
      <c r="L68" s="219"/>
      <c r="M68" s="23"/>
      <c r="O68" t="s">
        <v>147</v>
      </c>
      <c r="P68" t="s">
        <v>319</v>
      </c>
      <c r="Q68">
        <v>36</v>
      </c>
    </row>
    <row r="69" spans="1:17" ht="15" customHeight="1" x14ac:dyDescent="0.45">
      <c r="A69" s="211"/>
      <c r="B69" s="213"/>
      <c r="C69" s="213"/>
      <c r="D69" s="213"/>
      <c r="E69" s="213"/>
      <c r="F69" s="214"/>
      <c r="G69" s="215"/>
      <c r="H69" s="216"/>
      <c r="I69" s="217"/>
      <c r="J69" s="218"/>
      <c r="K69" s="219"/>
      <c r="L69" s="219"/>
      <c r="M69" s="23"/>
      <c r="O69" t="s">
        <v>147</v>
      </c>
      <c r="P69" t="s">
        <v>319</v>
      </c>
      <c r="Q69">
        <v>37</v>
      </c>
    </row>
    <row r="70" spans="1:17" ht="15" customHeight="1" x14ac:dyDescent="0.45">
      <c r="A70" s="211"/>
      <c r="B70" s="213"/>
      <c r="C70" s="213"/>
      <c r="D70" s="213"/>
      <c r="E70" s="213"/>
      <c r="F70" s="214"/>
      <c r="G70" s="215"/>
      <c r="H70" s="216"/>
      <c r="I70" s="217"/>
      <c r="J70" s="218"/>
      <c r="K70" s="219"/>
      <c r="L70" s="219"/>
      <c r="M70" s="23"/>
      <c r="O70" t="s">
        <v>147</v>
      </c>
      <c r="P70" t="s">
        <v>319</v>
      </c>
      <c r="Q70">
        <v>38</v>
      </c>
    </row>
    <row r="71" spans="1:17" ht="15" customHeight="1" x14ac:dyDescent="0.45">
      <c r="A71" s="211"/>
      <c r="B71" s="213"/>
      <c r="C71" s="213"/>
      <c r="D71" s="213"/>
      <c r="E71" s="213"/>
      <c r="F71" s="214"/>
      <c r="G71" s="215"/>
      <c r="H71" s="216"/>
      <c r="I71" s="217"/>
      <c r="J71" s="218"/>
      <c r="K71" s="219"/>
      <c r="L71" s="219"/>
      <c r="M71" s="23"/>
      <c r="O71" t="s">
        <v>147</v>
      </c>
      <c r="P71" t="s">
        <v>319</v>
      </c>
      <c r="Q71">
        <v>39</v>
      </c>
    </row>
    <row r="72" spans="1:17" ht="15" customHeight="1" x14ac:dyDescent="0.45">
      <c r="A72" s="211"/>
      <c r="B72" s="213"/>
      <c r="C72" s="213"/>
      <c r="D72" s="213"/>
      <c r="E72" s="213"/>
      <c r="F72" s="214"/>
      <c r="G72" s="215"/>
      <c r="H72" s="216"/>
      <c r="I72" s="217"/>
      <c r="J72" s="218"/>
      <c r="K72" s="219"/>
      <c r="L72" s="219"/>
      <c r="M72" s="23"/>
      <c r="O72" t="s">
        <v>147</v>
      </c>
      <c r="P72" t="s">
        <v>319</v>
      </c>
      <c r="Q72">
        <v>40</v>
      </c>
    </row>
    <row r="73" spans="1:17" ht="15" customHeight="1" x14ac:dyDescent="0.45">
      <c r="A73" s="211"/>
      <c r="B73" s="213"/>
      <c r="C73" s="213"/>
      <c r="D73" s="213"/>
      <c r="E73" s="213"/>
      <c r="F73" s="214"/>
      <c r="G73" s="215"/>
      <c r="H73" s="216"/>
      <c r="I73" s="217"/>
      <c r="J73" s="218"/>
      <c r="K73" s="219"/>
      <c r="L73" s="219"/>
      <c r="M73" s="23"/>
      <c r="O73" t="s">
        <v>147</v>
      </c>
      <c r="P73" t="s">
        <v>319</v>
      </c>
      <c r="Q73">
        <v>41</v>
      </c>
    </row>
    <row r="74" spans="1:17" ht="15" customHeight="1" x14ac:dyDescent="0.45">
      <c r="A74" s="211"/>
      <c r="B74" s="213"/>
      <c r="C74" s="213"/>
      <c r="D74" s="213"/>
      <c r="E74" s="213"/>
      <c r="F74" s="214"/>
      <c r="G74" s="215"/>
      <c r="H74" s="216"/>
      <c r="I74" s="217"/>
      <c r="J74" s="218"/>
      <c r="K74" s="219"/>
      <c r="L74" s="219"/>
      <c r="M74" s="23"/>
      <c r="O74" t="s">
        <v>147</v>
      </c>
      <c r="P74" t="s">
        <v>319</v>
      </c>
      <c r="Q74">
        <v>42</v>
      </c>
    </row>
    <row r="75" spans="1:17" ht="15" customHeight="1" x14ac:dyDescent="0.45">
      <c r="A75" s="211"/>
      <c r="B75" s="213"/>
      <c r="C75" s="213"/>
      <c r="D75" s="213"/>
      <c r="E75" s="213"/>
      <c r="F75" s="214"/>
      <c r="G75" s="215"/>
      <c r="H75" s="216"/>
      <c r="I75" s="217"/>
      <c r="J75" s="218"/>
      <c r="K75" s="219"/>
      <c r="L75" s="219"/>
      <c r="M75" s="23"/>
      <c r="O75" t="s">
        <v>147</v>
      </c>
      <c r="P75" t="s">
        <v>319</v>
      </c>
      <c r="Q75">
        <v>43</v>
      </c>
    </row>
    <row r="76" spans="1:17" ht="15" customHeight="1" x14ac:dyDescent="0.45">
      <c r="A76" s="211"/>
      <c r="B76" s="213"/>
      <c r="C76" s="213"/>
      <c r="D76" s="213"/>
      <c r="E76" s="213"/>
      <c r="F76" s="214"/>
      <c r="G76" s="215"/>
      <c r="H76" s="216"/>
      <c r="I76" s="217"/>
      <c r="J76" s="218"/>
      <c r="K76" s="219"/>
      <c r="L76" s="219"/>
      <c r="M76" s="23"/>
      <c r="O76" t="s">
        <v>147</v>
      </c>
      <c r="P76" t="s">
        <v>319</v>
      </c>
      <c r="Q76">
        <v>44</v>
      </c>
    </row>
    <row r="77" spans="1:17" ht="15" customHeight="1" x14ac:dyDescent="0.45">
      <c r="A77" s="211"/>
      <c r="B77" s="213"/>
      <c r="C77" s="213"/>
      <c r="D77" s="213"/>
      <c r="E77" s="213"/>
      <c r="F77" s="214"/>
      <c r="G77" s="215"/>
      <c r="H77" s="216"/>
      <c r="I77" s="217"/>
      <c r="J77" s="218"/>
      <c r="K77" s="219"/>
      <c r="L77" s="219"/>
      <c r="M77" s="23"/>
      <c r="O77" t="s">
        <v>147</v>
      </c>
      <c r="P77" t="s">
        <v>319</v>
      </c>
      <c r="Q77">
        <v>45</v>
      </c>
    </row>
    <row r="78" spans="1:17" ht="15" customHeight="1" x14ac:dyDescent="0.45">
      <c r="A78" s="211"/>
      <c r="B78" s="213"/>
      <c r="C78" s="213"/>
      <c r="D78" s="213"/>
      <c r="E78" s="213"/>
      <c r="F78" s="214"/>
      <c r="G78" s="215"/>
      <c r="H78" s="216"/>
      <c r="I78" s="217"/>
      <c r="J78" s="218"/>
      <c r="K78" s="219"/>
      <c r="L78" s="219"/>
      <c r="M78" s="23"/>
      <c r="O78" t="s">
        <v>147</v>
      </c>
      <c r="P78" t="s">
        <v>319</v>
      </c>
      <c r="Q78">
        <v>46</v>
      </c>
    </row>
    <row r="79" spans="1:17" ht="15" customHeight="1" x14ac:dyDescent="0.45">
      <c r="A79" s="211"/>
      <c r="B79" s="213"/>
      <c r="C79" s="213"/>
      <c r="D79" s="213"/>
      <c r="E79" s="213"/>
      <c r="F79" s="214"/>
      <c r="G79" s="215"/>
      <c r="H79" s="216"/>
      <c r="I79" s="217"/>
      <c r="J79" s="218"/>
      <c r="K79" s="219"/>
      <c r="L79" s="219"/>
      <c r="M79" s="23"/>
      <c r="O79" t="s">
        <v>147</v>
      </c>
      <c r="P79" t="s">
        <v>319</v>
      </c>
      <c r="Q79">
        <v>47</v>
      </c>
    </row>
    <row r="80" spans="1:17" ht="15" customHeight="1" x14ac:dyDescent="0.45">
      <c r="A80" s="211"/>
      <c r="B80" s="213"/>
      <c r="C80" s="213"/>
      <c r="D80" s="213"/>
      <c r="E80" s="213"/>
      <c r="F80" s="214"/>
      <c r="G80" s="215"/>
      <c r="H80" s="216"/>
      <c r="I80" s="217"/>
      <c r="J80" s="218"/>
      <c r="K80" s="219"/>
      <c r="L80" s="219"/>
      <c r="M80" s="23"/>
      <c r="O80" t="s">
        <v>147</v>
      </c>
      <c r="P80" t="s">
        <v>319</v>
      </c>
      <c r="Q80">
        <v>48</v>
      </c>
    </row>
    <row r="81" spans="1:17" ht="15" customHeight="1" x14ac:dyDescent="0.45">
      <c r="A81" s="211"/>
      <c r="B81" s="213"/>
      <c r="C81" s="213"/>
      <c r="D81" s="213"/>
      <c r="E81" s="213"/>
      <c r="F81" s="214"/>
      <c r="G81" s="215"/>
      <c r="H81" s="216"/>
      <c r="I81" s="217"/>
      <c r="J81" s="218"/>
      <c r="K81" s="219"/>
      <c r="L81" s="219"/>
      <c r="M81" s="23"/>
      <c r="O81" t="s">
        <v>147</v>
      </c>
      <c r="P81" t="s">
        <v>319</v>
      </c>
      <c r="Q81">
        <v>79</v>
      </c>
    </row>
    <row r="82" spans="1:17" ht="15" customHeight="1" x14ac:dyDescent="0.45">
      <c r="A82" s="211"/>
      <c r="B82" s="213"/>
      <c r="C82" s="213"/>
      <c r="D82" s="213"/>
      <c r="E82" s="213"/>
      <c r="F82" s="214"/>
      <c r="G82" s="215"/>
      <c r="H82" s="216"/>
      <c r="I82" s="217"/>
      <c r="J82" s="218"/>
      <c r="K82" s="219"/>
      <c r="L82" s="219"/>
      <c r="M82" s="23"/>
      <c r="O82" t="s">
        <v>147</v>
      </c>
      <c r="P82" t="s">
        <v>319</v>
      </c>
      <c r="Q82">
        <v>80</v>
      </c>
    </row>
    <row r="83" spans="1:17" ht="15" customHeight="1" x14ac:dyDescent="0.45">
      <c r="A83" s="211"/>
      <c r="B83" s="213"/>
      <c r="C83" s="213"/>
      <c r="D83" s="213"/>
      <c r="E83" s="213"/>
      <c r="F83" s="214"/>
      <c r="G83" s="215"/>
      <c r="H83" s="216"/>
      <c r="I83" s="217"/>
      <c r="J83" s="218"/>
      <c r="K83" s="219"/>
      <c r="L83" s="219"/>
      <c r="M83" s="23"/>
      <c r="O83" t="s">
        <v>147</v>
      </c>
      <c r="P83" t="s">
        <v>319</v>
      </c>
      <c r="Q83">
        <v>132</v>
      </c>
    </row>
    <row r="84" spans="1:17" ht="15" customHeight="1" x14ac:dyDescent="0.45">
      <c r="A84" s="211"/>
      <c r="B84" s="213"/>
      <c r="C84" s="213"/>
      <c r="D84" s="213"/>
      <c r="E84" s="213"/>
      <c r="F84" s="214"/>
      <c r="G84" s="215"/>
      <c r="H84" s="216"/>
      <c r="I84" s="217"/>
      <c r="J84" s="218"/>
      <c r="K84" s="219"/>
      <c r="L84" s="219"/>
      <c r="M84" s="23"/>
      <c r="O84" t="s">
        <v>147</v>
      </c>
      <c r="P84" t="s">
        <v>319</v>
      </c>
      <c r="Q84">
        <v>133</v>
      </c>
    </row>
    <row r="85" spans="1:17" ht="15" customHeight="1" x14ac:dyDescent="0.45">
      <c r="A85" s="211"/>
      <c r="B85" s="213"/>
      <c r="C85" s="213"/>
      <c r="D85" s="213"/>
      <c r="E85" s="213"/>
      <c r="F85" s="214"/>
      <c r="G85" s="215"/>
      <c r="H85" s="216"/>
      <c r="I85" s="217"/>
      <c r="J85" s="218"/>
      <c r="K85" s="219"/>
      <c r="L85" s="219"/>
      <c r="M85" s="23"/>
      <c r="O85" t="s">
        <v>147</v>
      </c>
      <c r="P85" t="s">
        <v>319</v>
      </c>
      <c r="Q85">
        <v>134</v>
      </c>
    </row>
    <row r="86" spans="1:17" ht="15" customHeight="1" x14ac:dyDescent="0.45">
      <c r="A86" s="211"/>
      <c r="B86" s="213"/>
      <c r="C86" s="213"/>
      <c r="D86" s="213"/>
      <c r="E86" s="213"/>
      <c r="F86" s="214"/>
      <c r="G86" s="215"/>
      <c r="H86" s="216"/>
      <c r="I86" s="217"/>
      <c r="J86" s="218"/>
      <c r="K86" s="219"/>
      <c r="L86" s="219"/>
      <c r="M86" s="23"/>
      <c r="O86" t="s">
        <v>147</v>
      </c>
      <c r="P86" t="s">
        <v>319</v>
      </c>
      <c r="Q86">
        <v>135</v>
      </c>
    </row>
    <row r="87" spans="1:17" ht="15" customHeight="1" x14ac:dyDescent="0.45">
      <c r="A87" s="211"/>
      <c r="B87" s="213"/>
      <c r="C87" s="213"/>
      <c r="D87" s="213"/>
      <c r="E87" s="213"/>
      <c r="F87" s="214"/>
      <c r="G87" s="215"/>
      <c r="H87" s="216"/>
      <c r="I87" s="217"/>
      <c r="J87" s="218"/>
      <c r="K87" s="219"/>
      <c r="L87" s="219"/>
      <c r="M87" s="23"/>
      <c r="O87" t="s">
        <v>147</v>
      </c>
      <c r="P87" t="s">
        <v>319</v>
      </c>
      <c r="Q87">
        <v>139</v>
      </c>
    </row>
    <row r="88" spans="1:17" ht="15" customHeight="1" x14ac:dyDescent="0.45">
      <c r="A88" s="211"/>
      <c r="B88" s="213"/>
      <c r="C88" s="213"/>
      <c r="D88" s="213"/>
      <c r="E88" s="213"/>
      <c r="F88" s="214"/>
      <c r="G88" s="215"/>
      <c r="H88" s="216"/>
      <c r="I88" s="217"/>
      <c r="J88" s="218"/>
      <c r="K88" s="219"/>
      <c r="L88" s="219"/>
      <c r="M88" s="23"/>
      <c r="O88" t="s">
        <v>147</v>
      </c>
      <c r="P88" t="s">
        <v>319</v>
      </c>
      <c r="Q88">
        <v>140</v>
      </c>
    </row>
    <row r="89" spans="1:17" ht="15" customHeight="1" x14ac:dyDescent="0.45">
      <c r="A89" s="211"/>
      <c r="B89" s="213"/>
      <c r="C89" s="213"/>
      <c r="D89" s="213"/>
      <c r="E89" s="213"/>
      <c r="F89" s="214"/>
      <c r="G89" s="215"/>
      <c r="H89" s="216"/>
      <c r="I89" s="217"/>
      <c r="J89" s="218"/>
      <c r="K89" s="219"/>
      <c r="L89" s="219"/>
      <c r="M89" s="23"/>
      <c r="O89" t="s">
        <v>152</v>
      </c>
      <c r="P89" t="s">
        <v>312</v>
      </c>
      <c r="Q89">
        <v>105</v>
      </c>
    </row>
    <row r="90" spans="1:17" ht="15" customHeight="1" x14ac:dyDescent="0.45">
      <c r="A90" s="211"/>
      <c r="B90" s="213"/>
      <c r="C90" s="213"/>
      <c r="D90" s="213"/>
      <c r="E90" s="213"/>
      <c r="F90" s="214"/>
      <c r="G90" s="215"/>
      <c r="H90" s="216"/>
      <c r="I90" s="217"/>
      <c r="J90" s="218"/>
      <c r="K90" s="219"/>
      <c r="L90" s="219"/>
      <c r="M90" s="23"/>
      <c r="O90" t="s">
        <v>142</v>
      </c>
      <c r="P90" t="s">
        <v>319</v>
      </c>
      <c r="Q90">
        <v>116</v>
      </c>
    </row>
    <row r="91" spans="1:17" ht="15" customHeight="1" x14ac:dyDescent="0.45">
      <c r="A91" s="211"/>
      <c r="B91" s="213"/>
      <c r="C91" s="213"/>
      <c r="D91" s="213"/>
      <c r="E91" s="213"/>
      <c r="F91" s="214"/>
      <c r="G91" s="215"/>
      <c r="H91" s="216"/>
      <c r="I91" s="217"/>
      <c r="J91" s="218"/>
      <c r="K91" s="219"/>
      <c r="L91" s="219"/>
      <c r="M91" s="23"/>
      <c r="O91" t="s">
        <v>142</v>
      </c>
      <c r="P91" t="s">
        <v>319</v>
      </c>
      <c r="Q91">
        <v>117</v>
      </c>
    </row>
    <row r="92" spans="1:17" ht="15" customHeight="1" x14ac:dyDescent="0.45">
      <c r="A92" s="211"/>
      <c r="B92" s="213"/>
      <c r="C92" s="213"/>
      <c r="D92" s="213"/>
      <c r="E92" s="213"/>
      <c r="F92" s="214"/>
      <c r="G92" s="215"/>
      <c r="H92" s="216"/>
      <c r="I92" s="217"/>
      <c r="J92" s="218"/>
      <c r="K92" s="219"/>
      <c r="L92" s="219"/>
      <c r="M92" s="23"/>
      <c r="O92" t="s">
        <v>142</v>
      </c>
      <c r="P92" t="s">
        <v>319</v>
      </c>
      <c r="Q92">
        <v>121</v>
      </c>
    </row>
    <row r="93" spans="1:17" ht="15" customHeight="1" x14ac:dyDescent="0.45">
      <c r="A93" s="211"/>
      <c r="B93" s="213"/>
      <c r="C93" s="213"/>
      <c r="D93" s="213"/>
      <c r="E93" s="213"/>
      <c r="F93" s="214"/>
      <c r="G93" s="215"/>
      <c r="H93" s="216"/>
      <c r="I93" s="217"/>
      <c r="J93" s="218"/>
      <c r="K93" s="219"/>
      <c r="L93" s="219"/>
      <c r="M93" s="23"/>
      <c r="O93" t="s">
        <v>142</v>
      </c>
      <c r="P93" t="s">
        <v>319</v>
      </c>
      <c r="Q93">
        <v>122</v>
      </c>
    </row>
    <row r="94" spans="1:17" ht="15" customHeight="1" x14ac:dyDescent="0.45">
      <c r="A94" s="211"/>
      <c r="B94" s="213"/>
      <c r="C94" s="213"/>
      <c r="D94" s="213"/>
      <c r="E94" s="213"/>
      <c r="F94" s="214"/>
      <c r="G94" s="215"/>
      <c r="H94" s="216"/>
      <c r="I94" s="217"/>
      <c r="J94" s="218"/>
      <c r="K94" s="219"/>
      <c r="L94" s="219"/>
      <c r="M94" s="23"/>
      <c r="O94" t="s">
        <v>142</v>
      </c>
      <c r="P94" t="s">
        <v>319</v>
      </c>
      <c r="Q94">
        <v>123</v>
      </c>
    </row>
    <row r="95" spans="1:17" ht="15" customHeight="1" x14ac:dyDescent="0.45">
      <c r="A95" s="211"/>
      <c r="B95" s="213"/>
      <c r="C95" s="213"/>
      <c r="D95" s="213"/>
      <c r="E95" s="213"/>
      <c r="F95" s="214"/>
      <c r="G95" s="215"/>
      <c r="H95" s="216"/>
      <c r="I95" s="217"/>
      <c r="J95" s="218"/>
      <c r="K95" s="219"/>
      <c r="L95" s="219"/>
      <c r="M95" s="23"/>
      <c r="O95" t="s">
        <v>142</v>
      </c>
      <c r="P95" t="s">
        <v>319</v>
      </c>
      <c r="Q95">
        <v>124</v>
      </c>
    </row>
    <row r="96" spans="1:17" ht="15" customHeight="1" x14ac:dyDescent="0.45">
      <c r="A96" s="211"/>
      <c r="B96" s="213"/>
      <c r="C96" s="213"/>
      <c r="D96" s="213"/>
      <c r="E96" s="213"/>
      <c r="F96" s="214"/>
      <c r="G96" s="215"/>
      <c r="H96" s="216"/>
      <c r="I96" s="217"/>
      <c r="J96" s="218"/>
      <c r="K96" s="219"/>
      <c r="L96" s="219"/>
      <c r="M96" s="23"/>
      <c r="O96" t="s">
        <v>141</v>
      </c>
      <c r="P96" t="s">
        <v>319</v>
      </c>
      <c r="Q96">
        <v>61</v>
      </c>
    </row>
    <row r="97" spans="1:17" ht="15" customHeight="1" x14ac:dyDescent="0.45">
      <c r="A97" s="211"/>
      <c r="B97" s="213"/>
      <c r="C97" s="213"/>
      <c r="D97" s="213"/>
      <c r="E97" s="213"/>
      <c r="F97" s="214"/>
      <c r="G97" s="215"/>
      <c r="H97" s="216"/>
      <c r="I97" s="217"/>
      <c r="J97" s="218"/>
      <c r="K97" s="219"/>
      <c r="L97" s="219"/>
      <c r="M97" s="23"/>
      <c r="O97" t="s">
        <v>141</v>
      </c>
      <c r="P97" t="s">
        <v>319</v>
      </c>
      <c r="Q97">
        <v>62</v>
      </c>
    </row>
    <row r="98" spans="1:17" ht="15" customHeight="1" x14ac:dyDescent="0.45">
      <c r="A98" s="211"/>
      <c r="B98" s="213"/>
      <c r="C98" s="213"/>
      <c r="D98" s="213"/>
      <c r="E98" s="213"/>
      <c r="F98" s="214"/>
      <c r="G98" s="215"/>
      <c r="H98" s="216"/>
      <c r="I98" s="217"/>
      <c r="J98" s="218"/>
      <c r="K98" s="219"/>
      <c r="L98" s="219"/>
      <c r="M98" s="23"/>
      <c r="O98" t="s">
        <v>141</v>
      </c>
      <c r="P98" t="s">
        <v>319</v>
      </c>
      <c r="Q98">
        <v>63</v>
      </c>
    </row>
    <row r="99" spans="1:17" ht="15" customHeight="1" x14ac:dyDescent="0.45">
      <c r="A99" s="211"/>
      <c r="B99" s="213"/>
      <c r="C99" s="213"/>
      <c r="D99" s="213"/>
      <c r="E99" s="213"/>
      <c r="F99" s="214"/>
      <c r="G99" s="215"/>
      <c r="H99" s="216"/>
      <c r="I99" s="217"/>
      <c r="J99" s="218"/>
      <c r="K99" s="219"/>
      <c r="L99" s="219"/>
      <c r="M99" s="23"/>
      <c r="O99" t="s">
        <v>141</v>
      </c>
      <c r="P99" t="s">
        <v>319</v>
      </c>
      <c r="Q99">
        <v>71</v>
      </c>
    </row>
    <row r="100" spans="1:17" ht="15" customHeight="1" x14ac:dyDescent="0.45">
      <c r="A100" s="211"/>
      <c r="B100" s="213"/>
      <c r="C100" s="213"/>
      <c r="D100" s="213"/>
      <c r="E100" s="213"/>
      <c r="F100" s="214"/>
      <c r="G100" s="215"/>
      <c r="H100" s="216"/>
      <c r="I100" s="217"/>
      <c r="J100" s="218"/>
      <c r="K100" s="219"/>
      <c r="L100" s="219"/>
      <c r="M100" s="23"/>
      <c r="O100" t="s">
        <v>141</v>
      </c>
      <c r="P100" t="s">
        <v>319</v>
      </c>
      <c r="Q100">
        <v>72</v>
      </c>
    </row>
    <row r="101" spans="1:17" ht="15" customHeight="1" x14ac:dyDescent="0.45">
      <c r="A101" s="211"/>
      <c r="B101" s="213"/>
      <c r="C101" s="213"/>
      <c r="D101" s="213"/>
      <c r="E101" s="213"/>
      <c r="F101" s="214"/>
      <c r="G101" s="215"/>
      <c r="H101" s="216"/>
      <c r="I101" s="217"/>
      <c r="J101" s="218"/>
      <c r="K101" s="219"/>
      <c r="L101" s="219"/>
      <c r="M101" s="23"/>
      <c r="O101" t="s">
        <v>141</v>
      </c>
      <c r="P101" t="s">
        <v>319</v>
      </c>
      <c r="Q101">
        <v>73</v>
      </c>
    </row>
    <row r="102" spans="1:17" ht="15" customHeight="1" x14ac:dyDescent="0.45">
      <c r="A102" s="211"/>
      <c r="B102" s="213"/>
      <c r="C102" s="213"/>
      <c r="D102" s="213"/>
      <c r="E102" s="213"/>
      <c r="F102" s="214"/>
      <c r="G102" s="215"/>
      <c r="H102" s="216"/>
      <c r="I102" s="217"/>
      <c r="J102" s="218"/>
      <c r="K102" s="219"/>
      <c r="L102" s="219"/>
      <c r="M102" s="23"/>
      <c r="O102" t="s">
        <v>141</v>
      </c>
      <c r="P102" t="s">
        <v>319</v>
      </c>
      <c r="Q102">
        <v>74</v>
      </c>
    </row>
    <row r="103" spans="1:17" ht="15" customHeight="1" x14ac:dyDescent="0.45">
      <c r="A103" s="211"/>
      <c r="B103" s="213"/>
      <c r="C103" s="213"/>
      <c r="D103" s="213"/>
      <c r="E103" s="213"/>
      <c r="F103" s="214"/>
      <c r="G103" s="215"/>
      <c r="H103" s="216"/>
      <c r="I103" s="217"/>
      <c r="J103" s="218"/>
      <c r="K103" s="219"/>
      <c r="L103" s="219"/>
      <c r="M103" s="23"/>
      <c r="O103" t="s">
        <v>141</v>
      </c>
      <c r="P103" t="s">
        <v>319</v>
      </c>
      <c r="Q103">
        <v>75</v>
      </c>
    </row>
    <row r="104" spans="1:17" ht="15" customHeight="1" x14ac:dyDescent="0.45">
      <c r="A104" s="211"/>
      <c r="B104" s="213"/>
      <c r="C104" s="213"/>
      <c r="D104" s="213"/>
      <c r="E104" s="213"/>
      <c r="F104" s="214"/>
      <c r="G104" s="215"/>
      <c r="H104" s="216"/>
      <c r="I104" s="217"/>
      <c r="J104" s="218"/>
      <c r="K104" s="219"/>
      <c r="L104" s="219"/>
      <c r="M104" s="23"/>
      <c r="O104" t="s">
        <v>141</v>
      </c>
      <c r="P104" t="s">
        <v>319</v>
      </c>
      <c r="Q104">
        <v>77</v>
      </c>
    </row>
    <row r="105" spans="1:17" ht="15" customHeight="1" x14ac:dyDescent="0.45">
      <c r="A105" s="211"/>
      <c r="B105" s="213"/>
      <c r="C105" s="213"/>
      <c r="D105" s="213"/>
      <c r="E105" s="213"/>
      <c r="F105" s="214"/>
      <c r="G105" s="215"/>
      <c r="H105" s="216"/>
      <c r="I105" s="217"/>
      <c r="J105" s="218"/>
      <c r="K105" s="219"/>
      <c r="L105" s="219"/>
      <c r="M105" s="23"/>
      <c r="O105" t="s">
        <v>141</v>
      </c>
      <c r="P105" t="s">
        <v>319</v>
      </c>
      <c r="Q105">
        <v>78</v>
      </c>
    </row>
    <row r="106" spans="1:17" ht="15" customHeight="1" x14ac:dyDescent="0.45">
      <c r="A106" s="211"/>
      <c r="B106" s="213"/>
      <c r="C106" s="213"/>
      <c r="D106" s="213"/>
      <c r="E106" s="213"/>
      <c r="F106" s="214"/>
      <c r="G106" s="215"/>
      <c r="H106" s="216"/>
      <c r="I106" s="217"/>
      <c r="J106" s="218"/>
      <c r="K106" s="219"/>
      <c r="L106" s="219"/>
      <c r="M106" s="23"/>
      <c r="O106" t="s">
        <v>141</v>
      </c>
      <c r="P106" t="s">
        <v>319</v>
      </c>
      <c r="Q106">
        <v>118</v>
      </c>
    </row>
    <row r="107" spans="1:17" ht="15" customHeight="1" x14ac:dyDescent="0.45">
      <c r="A107" s="211"/>
      <c r="B107" s="213"/>
      <c r="C107" s="213"/>
      <c r="D107" s="213"/>
      <c r="E107" s="213"/>
      <c r="F107" s="214"/>
      <c r="G107" s="215"/>
      <c r="H107" s="216"/>
      <c r="I107" s="217"/>
      <c r="J107" s="218"/>
      <c r="K107" s="219"/>
      <c r="L107" s="219"/>
      <c r="M107" s="23"/>
      <c r="O107" t="s">
        <v>141</v>
      </c>
      <c r="P107" t="s">
        <v>319</v>
      </c>
      <c r="Q107">
        <v>119</v>
      </c>
    </row>
    <row r="108" spans="1:17" ht="15" customHeight="1" x14ac:dyDescent="0.45">
      <c r="A108" s="211"/>
      <c r="B108" s="213"/>
      <c r="C108" s="213"/>
      <c r="D108" s="213"/>
      <c r="E108" s="213"/>
      <c r="F108" s="214"/>
      <c r="G108" s="215"/>
      <c r="H108" s="216"/>
      <c r="I108" s="217"/>
      <c r="J108" s="218"/>
      <c r="K108" s="219"/>
      <c r="L108" s="219"/>
      <c r="M108" s="23"/>
      <c r="O108" t="s">
        <v>141</v>
      </c>
      <c r="P108" t="s">
        <v>319</v>
      </c>
      <c r="Q108">
        <v>120</v>
      </c>
    </row>
    <row r="109" spans="1:17" ht="15" customHeight="1" x14ac:dyDescent="0.45">
      <c r="A109" s="211"/>
      <c r="B109" s="213"/>
      <c r="C109" s="213"/>
      <c r="D109" s="213"/>
      <c r="E109" s="213"/>
      <c r="F109" s="214"/>
      <c r="G109" s="215"/>
      <c r="H109" s="216"/>
      <c r="I109" s="217"/>
      <c r="J109" s="218"/>
      <c r="K109" s="219"/>
      <c r="L109" s="219"/>
      <c r="M109" s="23"/>
      <c r="O109" t="s">
        <v>141</v>
      </c>
      <c r="P109" t="s">
        <v>319</v>
      </c>
      <c r="Q109">
        <v>141</v>
      </c>
    </row>
    <row r="110" spans="1:17" ht="15" customHeight="1" x14ac:dyDescent="0.45">
      <c r="A110" s="211"/>
      <c r="B110" s="213"/>
      <c r="C110" s="213"/>
      <c r="D110" s="213"/>
      <c r="E110" s="213"/>
      <c r="F110" s="214"/>
      <c r="G110" s="215"/>
      <c r="H110" s="216"/>
      <c r="I110" s="217"/>
      <c r="J110" s="218"/>
      <c r="K110" s="219"/>
      <c r="L110" s="219"/>
      <c r="M110" s="23"/>
      <c r="O110" t="s">
        <v>141</v>
      </c>
      <c r="P110" t="s">
        <v>319</v>
      </c>
      <c r="Q110">
        <v>142</v>
      </c>
    </row>
    <row r="111" spans="1:17" ht="15" customHeight="1" x14ac:dyDescent="0.45">
      <c r="A111" s="211"/>
      <c r="B111" s="213"/>
      <c r="C111" s="213"/>
      <c r="D111" s="213"/>
      <c r="E111" s="213"/>
      <c r="F111" s="214"/>
      <c r="G111" s="215"/>
      <c r="H111" s="216"/>
      <c r="I111" s="217"/>
      <c r="J111" s="218"/>
      <c r="K111" s="219"/>
      <c r="L111" s="219"/>
      <c r="M111" s="23"/>
      <c r="O111" t="s">
        <v>141</v>
      </c>
      <c r="P111" t="s">
        <v>319</v>
      </c>
      <c r="Q111">
        <v>143</v>
      </c>
    </row>
    <row r="112" spans="1:17" ht="15" customHeight="1" x14ac:dyDescent="0.45">
      <c r="A112" s="211"/>
      <c r="B112" s="213"/>
      <c r="C112" s="213"/>
      <c r="D112" s="213"/>
      <c r="E112" s="213"/>
      <c r="F112" s="214"/>
      <c r="G112" s="215"/>
      <c r="H112" s="216"/>
      <c r="I112" s="217"/>
      <c r="J112" s="218"/>
      <c r="K112" s="219"/>
      <c r="L112" s="219"/>
      <c r="M112" s="23"/>
      <c r="O112" t="s">
        <v>146</v>
      </c>
      <c r="P112" t="s">
        <v>319</v>
      </c>
      <c r="Q112">
        <v>11</v>
      </c>
    </row>
    <row r="113" spans="1:17" ht="15" customHeight="1" x14ac:dyDescent="0.45">
      <c r="A113" s="211"/>
      <c r="B113" s="213"/>
      <c r="C113" s="213"/>
      <c r="D113" s="213"/>
      <c r="E113" s="213"/>
      <c r="F113" s="214"/>
      <c r="G113" s="215"/>
      <c r="H113" s="216"/>
      <c r="I113" s="217"/>
      <c r="J113" s="218"/>
      <c r="K113" s="219"/>
      <c r="L113" s="219"/>
      <c r="M113" s="23"/>
      <c r="O113" t="s">
        <v>146</v>
      </c>
      <c r="P113" t="s">
        <v>319</v>
      </c>
      <c r="Q113">
        <v>87</v>
      </c>
    </row>
    <row r="114" spans="1:17" ht="15" customHeight="1" x14ac:dyDescent="0.45">
      <c r="A114" s="211"/>
      <c r="B114" s="213"/>
      <c r="C114" s="213"/>
      <c r="D114" s="213"/>
      <c r="E114" s="213"/>
      <c r="F114" s="214"/>
      <c r="G114" s="215"/>
      <c r="H114" s="216"/>
      <c r="I114" s="217"/>
      <c r="J114" s="218"/>
      <c r="K114" s="219"/>
      <c r="L114" s="219"/>
      <c r="M114" s="23"/>
      <c r="O114" t="s">
        <v>146</v>
      </c>
      <c r="P114" t="s">
        <v>319</v>
      </c>
      <c r="Q114">
        <v>88</v>
      </c>
    </row>
    <row r="115" spans="1:17" ht="15" customHeight="1" x14ac:dyDescent="0.45">
      <c r="A115" s="211"/>
      <c r="B115" s="213"/>
      <c r="C115" s="213"/>
      <c r="D115" s="213"/>
      <c r="E115" s="213"/>
      <c r="F115" s="214"/>
      <c r="G115" s="215"/>
      <c r="H115" s="216"/>
      <c r="I115" s="217"/>
      <c r="J115" s="218"/>
      <c r="K115" s="219"/>
      <c r="L115" s="219"/>
      <c r="M115" s="23"/>
      <c r="O115" t="s">
        <v>146</v>
      </c>
      <c r="P115" t="s">
        <v>319</v>
      </c>
      <c r="Q115">
        <v>106</v>
      </c>
    </row>
    <row r="116" spans="1:17" ht="15" customHeight="1" x14ac:dyDescent="0.45">
      <c r="A116" s="211"/>
      <c r="B116" s="213"/>
      <c r="C116" s="213"/>
      <c r="D116" s="213"/>
      <c r="E116" s="213"/>
      <c r="F116" s="214"/>
      <c r="G116" s="215"/>
      <c r="H116" s="216"/>
      <c r="I116" s="217"/>
      <c r="J116" s="218"/>
      <c r="K116" s="219"/>
      <c r="L116" s="219"/>
      <c r="M116" s="23"/>
      <c r="O116" t="s">
        <v>146</v>
      </c>
      <c r="P116" t="s">
        <v>319</v>
      </c>
      <c r="Q116">
        <v>107</v>
      </c>
    </row>
    <row r="117" spans="1:17" ht="15" customHeight="1" x14ac:dyDescent="0.45">
      <c r="A117" s="211"/>
      <c r="B117" s="213"/>
      <c r="C117" s="213"/>
      <c r="D117" s="213"/>
      <c r="E117" s="213"/>
      <c r="F117" s="214"/>
      <c r="G117" s="215"/>
      <c r="H117" s="216"/>
      <c r="I117" s="217"/>
      <c r="J117" s="218"/>
      <c r="K117" s="219"/>
      <c r="L117" s="219"/>
      <c r="M117" s="23"/>
      <c r="O117" t="s">
        <v>146</v>
      </c>
      <c r="P117" t="s">
        <v>319</v>
      </c>
      <c r="Q117">
        <v>108</v>
      </c>
    </row>
    <row r="118" spans="1:17" ht="15" customHeight="1" x14ac:dyDescent="0.45">
      <c r="A118" s="211"/>
      <c r="B118" s="213"/>
      <c r="C118" s="213"/>
      <c r="D118" s="213"/>
      <c r="E118" s="213"/>
      <c r="F118" s="214"/>
      <c r="G118" s="215"/>
      <c r="H118" s="216"/>
      <c r="I118" s="217"/>
      <c r="J118" s="218"/>
      <c r="K118" s="219"/>
      <c r="L118" s="219"/>
      <c r="M118" s="23"/>
      <c r="O118" t="s">
        <v>146</v>
      </c>
      <c r="P118" t="s">
        <v>319</v>
      </c>
      <c r="Q118">
        <v>111</v>
      </c>
    </row>
    <row r="119" spans="1:17" ht="15" customHeight="1" x14ac:dyDescent="0.45">
      <c r="A119" s="211"/>
      <c r="B119" s="213"/>
      <c r="C119" s="213"/>
      <c r="D119" s="213"/>
      <c r="E119" s="213"/>
      <c r="F119" s="214"/>
      <c r="G119" s="215"/>
      <c r="H119" s="216"/>
      <c r="I119" s="217"/>
      <c r="J119" s="218"/>
      <c r="K119" s="219"/>
      <c r="L119" s="219"/>
      <c r="M119" s="23"/>
      <c r="O119" t="s">
        <v>146</v>
      </c>
      <c r="P119" t="s">
        <v>319</v>
      </c>
      <c r="Q119">
        <v>112</v>
      </c>
    </row>
    <row r="120" spans="1:17" ht="15" customHeight="1" x14ac:dyDescent="0.45">
      <c r="A120" s="211"/>
      <c r="B120" s="213"/>
      <c r="C120" s="213"/>
      <c r="D120" s="213"/>
      <c r="E120" s="213"/>
      <c r="F120" s="214"/>
      <c r="G120" s="215"/>
      <c r="H120" s="216"/>
      <c r="I120" s="217"/>
      <c r="J120" s="218"/>
      <c r="K120" s="219"/>
      <c r="L120" s="219"/>
      <c r="M120" s="23"/>
      <c r="O120" t="s">
        <v>146</v>
      </c>
      <c r="P120" t="s">
        <v>319</v>
      </c>
      <c r="Q120">
        <v>113</v>
      </c>
    </row>
    <row r="121" spans="1:17" ht="15" customHeight="1" x14ac:dyDescent="0.45">
      <c r="A121" s="211"/>
      <c r="B121" s="213"/>
      <c r="C121" s="213"/>
      <c r="D121" s="213"/>
      <c r="E121" s="213"/>
      <c r="F121" s="214"/>
      <c r="G121" s="215"/>
      <c r="H121" s="216"/>
      <c r="I121" s="217"/>
      <c r="J121" s="218"/>
      <c r="K121" s="219"/>
      <c r="L121" s="219"/>
      <c r="M121" s="23"/>
      <c r="O121" t="s">
        <v>146</v>
      </c>
      <c r="P121" t="s">
        <v>319</v>
      </c>
      <c r="Q121">
        <v>114</v>
      </c>
    </row>
    <row r="122" spans="1:17" ht="15" customHeight="1" x14ac:dyDescent="0.45">
      <c r="A122" s="211"/>
      <c r="B122" s="213"/>
      <c r="C122" s="213"/>
      <c r="D122" s="213"/>
      <c r="E122" s="213"/>
      <c r="F122" s="214"/>
      <c r="G122" s="215"/>
      <c r="H122" s="216"/>
      <c r="I122" s="217"/>
      <c r="J122" s="218"/>
      <c r="K122" s="219"/>
      <c r="L122" s="219"/>
      <c r="M122" s="23"/>
      <c r="O122" t="s">
        <v>146</v>
      </c>
      <c r="P122" t="s">
        <v>319</v>
      </c>
      <c r="Q122">
        <v>115</v>
      </c>
    </row>
    <row r="123" spans="1:17" ht="15" customHeight="1" x14ac:dyDescent="0.45">
      <c r="A123" s="211"/>
      <c r="B123" s="213"/>
      <c r="C123" s="213"/>
      <c r="D123" s="213"/>
      <c r="E123" s="213"/>
      <c r="F123" s="214"/>
      <c r="G123" s="215"/>
      <c r="H123" s="216"/>
      <c r="I123" s="217"/>
      <c r="J123" s="218"/>
      <c r="K123" s="219"/>
      <c r="L123" s="219"/>
      <c r="M123" s="23"/>
      <c r="O123" t="s">
        <v>146</v>
      </c>
      <c r="P123" t="s">
        <v>319</v>
      </c>
      <c r="Q123">
        <v>146</v>
      </c>
    </row>
    <row r="124" spans="1:17" ht="15" customHeight="1" x14ac:dyDescent="0.45">
      <c r="A124" s="211"/>
      <c r="B124" s="213"/>
      <c r="C124" s="213"/>
      <c r="D124" s="213"/>
      <c r="E124" s="213"/>
      <c r="F124" s="214"/>
      <c r="G124" s="215"/>
      <c r="H124" s="216"/>
      <c r="I124" s="217"/>
      <c r="J124" s="218"/>
      <c r="K124" s="219"/>
      <c r="L124" s="219"/>
      <c r="M124" s="23"/>
      <c r="O124" t="s">
        <v>146</v>
      </c>
      <c r="P124" t="s">
        <v>319</v>
      </c>
      <c r="Q124">
        <v>149</v>
      </c>
    </row>
    <row r="125" spans="1:17" ht="15" customHeight="1" x14ac:dyDescent="0.45">
      <c r="A125" s="211"/>
      <c r="B125" s="213"/>
      <c r="C125" s="213"/>
      <c r="D125" s="213"/>
      <c r="E125" s="213"/>
      <c r="F125" s="214"/>
      <c r="G125" s="215"/>
      <c r="H125" s="216"/>
      <c r="I125" s="217"/>
      <c r="J125" s="218"/>
      <c r="K125" s="219"/>
      <c r="L125" s="219"/>
      <c r="M125" s="23"/>
      <c r="O125" t="s">
        <v>164</v>
      </c>
      <c r="P125" t="s">
        <v>312</v>
      </c>
      <c r="Q125">
        <v>80</v>
      </c>
    </row>
    <row r="126" spans="1:17" ht="15" customHeight="1" x14ac:dyDescent="0.45">
      <c r="A126" s="211"/>
      <c r="B126" s="213"/>
      <c r="C126" s="213"/>
      <c r="D126" s="213"/>
      <c r="E126" s="213"/>
      <c r="F126" s="214"/>
      <c r="G126" s="215"/>
      <c r="H126" s="216"/>
      <c r="I126" s="217"/>
      <c r="J126" s="218"/>
      <c r="K126" s="219"/>
      <c r="L126" s="219"/>
      <c r="M126" s="23"/>
      <c r="O126" t="s">
        <v>166</v>
      </c>
      <c r="P126" t="s">
        <v>312</v>
      </c>
      <c r="Q126">
        <v>61</v>
      </c>
    </row>
    <row r="127" spans="1:17" ht="15" customHeight="1" x14ac:dyDescent="0.45">
      <c r="A127" s="211"/>
      <c r="B127" s="213"/>
      <c r="C127" s="213"/>
      <c r="D127" s="213"/>
      <c r="E127" s="213"/>
      <c r="F127" s="214"/>
      <c r="G127" s="215"/>
      <c r="H127" s="216"/>
      <c r="I127" s="217"/>
      <c r="J127" s="218"/>
      <c r="K127" s="219"/>
      <c r="L127" s="219"/>
      <c r="M127" s="23"/>
      <c r="O127" t="s">
        <v>166</v>
      </c>
      <c r="P127" t="s">
        <v>312</v>
      </c>
      <c r="Q127">
        <v>62</v>
      </c>
    </row>
    <row r="128" spans="1:17" ht="15" customHeight="1" x14ac:dyDescent="0.45">
      <c r="A128" s="211"/>
      <c r="B128" s="213"/>
      <c r="C128" s="213"/>
      <c r="D128" s="213"/>
      <c r="E128" s="213"/>
      <c r="F128" s="214"/>
      <c r="G128" s="215"/>
      <c r="H128" s="216"/>
      <c r="I128" s="217"/>
      <c r="J128" s="218"/>
      <c r="K128" s="219"/>
      <c r="L128" s="219"/>
      <c r="M128" s="23"/>
      <c r="O128" t="s">
        <v>166</v>
      </c>
      <c r="P128" t="s">
        <v>312</v>
      </c>
      <c r="Q128">
        <v>63</v>
      </c>
    </row>
    <row r="129" spans="1:17" ht="15" customHeight="1" x14ac:dyDescent="0.45">
      <c r="A129" s="211"/>
      <c r="B129" s="213"/>
      <c r="C129" s="213"/>
      <c r="D129" s="213"/>
      <c r="E129" s="213"/>
      <c r="F129" s="214"/>
      <c r="G129" s="215"/>
      <c r="H129" s="216"/>
      <c r="I129" s="217"/>
      <c r="J129" s="218"/>
      <c r="K129" s="219"/>
      <c r="L129" s="219"/>
      <c r="M129" s="23"/>
      <c r="O129" t="s">
        <v>163</v>
      </c>
      <c r="P129" t="s">
        <v>312</v>
      </c>
      <c r="Q129">
        <v>19</v>
      </c>
    </row>
    <row r="130" spans="1:17" ht="15" customHeight="1" x14ac:dyDescent="0.45">
      <c r="A130" s="211"/>
      <c r="B130" s="213"/>
      <c r="C130" s="213"/>
      <c r="D130" s="213"/>
      <c r="E130" s="213"/>
      <c r="F130" s="214"/>
      <c r="G130" s="215"/>
      <c r="H130" s="216"/>
      <c r="I130" s="217"/>
      <c r="J130" s="218"/>
      <c r="K130" s="219"/>
      <c r="L130" s="219"/>
      <c r="M130" s="23"/>
      <c r="O130" t="s">
        <v>163</v>
      </c>
      <c r="P130" t="s">
        <v>312</v>
      </c>
      <c r="Q130">
        <v>21</v>
      </c>
    </row>
    <row r="131" spans="1:17" ht="15" customHeight="1" x14ac:dyDescent="0.45">
      <c r="A131" s="211"/>
      <c r="B131" s="213"/>
      <c r="C131" s="213"/>
      <c r="D131" s="213"/>
      <c r="E131" s="213"/>
      <c r="F131" s="214"/>
      <c r="G131" s="215"/>
      <c r="H131" s="216"/>
      <c r="I131" s="217"/>
      <c r="J131" s="218"/>
      <c r="K131" s="219"/>
      <c r="L131" s="219"/>
      <c r="M131" s="23"/>
      <c r="O131" t="s">
        <v>163</v>
      </c>
      <c r="P131" t="s">
        <v>312</v>
      </c>
      <c r="Q131">
        <v>79</v>
      </c>
    </row>
    <row r="132" spans="1:17" ht="15" customHeight="1" x14ac:dyDescent="0.45">
      <c r="A132" s="211"/>
      <c r="B132" s="213"/>
      <c r="C132" s="213"/>
      <c r="D132" s="213"/>
      <c r="E132" s="213"/>
      <c r="F132" s="214"/>
      <c r="G132" s="215"/>
      <c r="H132" s="216"/>
      <c r="I132" s="217"/>
      <c r="J132" s="218"/>
      <c r="K132" s="219"/>
      <c r="L132" s="219"/>
      <c r="M132" s="23"/>
      <c r="O132" t="s">
        <v>163</v>
      </c>
      <c r="P132" t="s">
        <v>312</v>
      </c>
      <c r="Q132">
        <v>81</v>
      </c>
    </row>
    <row r="133" spans="1:17" ht="15" customHeight="1" x14ac:dyDescent="0.45">
      <c r="A133" s="211"/>
      <c r="B133" s="213"/>
      <c r="C133" s="213"/>
      <c r="D133" s="213"/>
      <c r="E133" s="213"/>
      <c r="F133" s="214"/>
      <c r="G133" s="215"/>
      <c r="H133" s="216"/>
      <c r="I133" s="217"/>
      <c r="J133" s="218"/>
      <c r="K133" s="219"/>
      <c r="L133" s="219"/>
      <c r="M133" s="23"/>
      <c r="O133" t="s">
        <v>163</v>
      </c>
      <c r="P133" t="s">
        <v>312</v>
      </c>
      <c r="Q133">
        <v>82</v>
      </c>
    </row>
    <row r="134" spans="1:17" ht="15" customHeight="1" x14ac:dyDescent="0.45">
      <c r="A134" s="211"/>
      <c r="B134" s="213"/>
      <c r="C134" s="213"/>
      <c r="D134" s="213"/>
      <c r="E134" s="213"/>
      <c r="F134" s="214"/>
      <c r="G134" s="215"/>
      <c r="H134" s="216"/>
      <c r="I134" s="217"/>
      <c r="J134" s="218"/>
      <c r="K134" s="219"/>
      <c r="L134" s="219"/>
      <c r="M134" s="23"/>
      <c r="O134" t="s">
        <v>163</v>
      </c>
      <c r="P134" t="s">
        <v>312</v>
      </c>
      <c r="Q134">
        <v>83</v>
      </c>
    </row>
    <row r="135" spans="1:17" ht="15" customHeight="1" x14ac:dyDescent="0.45">
      <c r="A135" s="211"/>
      <c r="B135" s="213"/>
      <c r="C135" s="213"/>
      <c r="D135" s="213"/>
      <c r="E135" s="213"/>
      <c r="F135" s="214"/>
      <c r="G135" s="215"/>
      <c r="H135" s="216"/>
      <c r="I135" s="217"/>
      <c r="J135" s="218"/>
      <c r="K135" s="219"/>
      <c r="L135" s="219"/>
      <c r="M135" s="23"/>
      <c r="O135" t="s">
        <v>163</v>
      </c>
      <c r="P135" t="s">
        <v>312</v>
      </c>
      <c r="Q135">
        <v>136</v>
      </c>
    </row>
    <row r="136" spans="1:17" ht="15" customHeight="1" x14ac:dyDescent="0.45">
      <c r="A136" s="211"/>
      <c r="B136" s="213"/>
      <c r="C136" s="213"/>
      <c r="D136" s="213"/>
      <c r="E136" s="213"/>
      <c r="F136" s="214"/>
      <c r="G136" s="215"/>
      <c r="H136" s="216"/>
      <c r="I136" s="217"/>
      <c r="J136" s="218"/>
      <c r="K136" s="219"/>
      <c r="L136" s="219"/>
      <c r="M136" s="23"/>
      <c r="O136" t="s">
        <v>163</v>
      </c>
      <c r="P136" t="s">
        <v>312</v>
      </c>
      <c r="Q136">
        <v>137</v>
      </c>
    </row>
    <row r="137" spans="1:17" ht="15" customHeight="1" x14ac:dyDescent="0.45">
      <c r="A137" s="211"/>
      <c r="B137" s="213"/>
      <c r="C137" s="213"/>
      <c r="D137" s="213"/>
      <c r="E137" s="213"/>
      <c r="F137" s="214"/>
      <c r="G137" s="215"/>
      <c r="H137" s="216"/>
      <c r="I137" s="217"/>
      <c r="J137" s="218"/>
      <c r="K137" s="219"/>
      <c r="L137" s="219"/>
      <c r="M137" s="23"/>
      <c r="O137" t="s">
        <v>163</v>
      </c>
      <c r="P137" t="s">
        <v>312</v>
      </c>
      <c r="Q137">
        <v>138</v>
      </c>
    </row>
    <row r="138" spans="1:17" ht="15" customHeight="1" x14ac:dyDescent="0.45">
      <c r="A138" s="211"/>
      <c r="B138" s="213"/>
      <c r="C138" s="213"/>
      <c r="D138" s="213"/>
      <c r="E138" s="213"/>
      <c r="F138" s="214"/>
      <c r="G138" s="215"/>
      <c r="H138" s="216"/>
      <c r="I138" s="217"/>
      <c r="J138" s="218"/>
      <c r="K138" s="219"/>
      <c r="L138" s="219"/>
      <c r="M138" s="23"/>
      <c r="O138" t="s">
        <v>145</v>
      </c>
      <c r="P138" t="s">
        <v>319</v>
      </c>
      <c r="Q138">
        <v>7</v>
      </c>
    </row>
    <row r="139" spans="1:17" ht="15" customHeight="1" x14ac:dyDescent="0.45">
      <c r="A139" s="211"/>
      <c r="B139" s="213"/>
      <c r="C139" s="213"/>
      <c r="D139" s="213"/>
      <c r="E139" s="213"/>
      <c r="F139" s="214"/>
      <c r="G139" s="215"/>
      <c r="H139" s="216"/>
      <c r="I139" s="217"/>
      <c r="J139" s="218"/>
      <c r="K139" s="219"/>
      <c r="L139" s="219"/>
      <c r="M139" s="23"/>
      <c r="O139" t="s">
        <v>145</v>
      </c>
      <c r="P139" t="s">
        <v>319</v>
      </c>
      <c r="Q139">
        <v>19</v>
      </c>
    </row>
    <row r="140" spans="1:17" ht="15" customHeight="1" x14ac:dyDescent="0.45">
      <c r="A140" s="211"/>
      <c r="B140" s="213"/>
      <c r="C140" s="213"/>
      <c r="D140" s="213"/>
      <c r="E140" s="213"/>
      <c r="F140" s="214"/>
      <c r="G140" s="215"/>
      <c r="H140" s="216"/>
      <c r="I140" s="217"/>
      <c r="J140" s="218"/>
      <c r="K140" s="219"/>
      <c r="L140" s="219"/>
      <c r="M140" s="23"/>
      <c r="O140" t="s">
        <v>145</v>
      </c>
      <c r="P140" t="s">
        <v>319</v>
      </c>
      <c r="Q140">
        <v>20</v>
      </c>
    </row>
    <row r="141" spans="1:17" ht="15" customHeight="1" x14ac:dyDescent="0.45">
      <c r="A141" s="211"/>
      <c r="B141" s="213"/>
      <c r="C141" s="213"/>
      <c r="D141" s="213"/>
      <c r="E141" s="213"/>
      <c r="F141" s="214"/>
      <c r="G141" s="215"/>
      <c r="H141" s="216"/>
      <c r="I141" s="217"/>
      <c r="J141" s="218"/>
      <c r="K141" s="219"/>
      <c r="L141" s="219"/>
      <c r="M141" s="23"/>
      <c r="O141" t="s">
        <v>145</v>
      </c>
      <c r="P141" t="s">
        <v>319</v>
      </c>
      <c r="Q141">
        <v>21</v>
      </c>
    </row>
    <row r="142" spans="1:17" ht="15" customHeight="1" x14ac:dyDescent="0.45">
      <c r="A142" s="211"/>
      <c r="B142" s="213"/>
      <c r="C142" s="213"/>
      <c r="D142" s="213"/>
      <c r="E142" s="213"/>
      <c r="F142" s="214"/>
      <c r="G142" s="215"/>
      <c r="H142" s="216"/>
      <c r="I142" s="217"/>
      <c r="J142" s="218"/>
      <c r="K142" s="219"/>
      <c r="L142" s="219"/>
      <c r="M142" s="23"/>
      <c r="O142" t="s">
        <v>145</v>
      </c>
      <c r="P142" t="s">
        <v>319</v>
      </c>
      <c r="Q142">
        <v>22</v>
      </c>
    </row>
    <row r="143" spans="1:17" ht="15" customHeight="1" x14ac:dyDescent="0.45">
      <c r="A143" s="211"/>
      <c r="B143" s="213"/>
      <c r="C143" s="213"/>
      <c r="D143" s="213"/>
      <c r="E143" s="213"/>
      <c r="F143" s="214"/>
      <c r="G143" s="215"/>
      <c r="H143" s="216"/>
      <c r="I143" s="217"/>
      <c r="J143" s="218"/>
      <c r="K143" s="219"/>
      <c r="L143" s="219"/>
      <c r="M143" s="23"/>
      <c r="O143" t="s">
        <v>145</v>
      </c>
      <c r="P143" t="s">
        <v>319</v>
      </c>
      <c r="Q143">
        <v>50</v>
      </c>
    </row>
    <row r="144" spans="1:17" ht="15" customHeight="1" x14ac:dyDescent="0.45">
      <c r="A144" s="211"/>
      <c r="B144" s="213"/>
      <c r="C144" s="213"/>
      <c r="D144" s="213"/>
      <c r="E144" s="213"/>
      <c r="F144" s="214"/>
      <c r="G144" s="215"/>
      <c r="H144" s="216"/>
      <c r="I144" s="217"/>
      <c r="J144" s="218"/>
      <c r="K144" s="219"/>
      <c r="L144" s="219"/>
      <c r="M144" s="23"/>
      <c r="O144" t="s">
        <v>145</v>
      </c>
      <c r="P144" t="s">
        <v>319</v>
      </c>
      <c r="Q144">
        <v>51</v>
      </c>
    </row>
    <row r="145" spans="1:17" ht="15" customHeight="1" x14ac:dyDescent="0.45">
      <c r="A145" s="211"/>
      <c r="B145" s="213"/>
      <c r="C145" s="213"/>
      <c r="D145" s="213"/>
      <c r="E145" s="213"/>
      <c r="F145" s="214"/>
      <c r="G145" s="215"/>
      <c r="H145" s="216"/>
      <c r="I145" s="217"/>
      <c r="J145" s="218"/>
      <c r="K145" s="219"/>
      <c r="L145" s="219"/>
      <c r="M145" s="23"/>
      <c r="O145" t="s">
        <v>145</v>
      </c>
      <c r="P145" t="s">
        <v>319</v>
      </c>
      <c r="Q145">
        <v>52</v>
      </c>
    </row>
    <row r="146" spans="1:17" ht="15" customHeight="1" x14ac:dyDescent="0.45">
      <c r="A146" s="211"/>
      <c r="B146" s="213"/>
      <c r="C146" s="213"/>
      <c r="D146" s="213"/>
      <c r="E146" s="213"/>
      <c r="F146" s="214"/>
      <c r="G146" s="215"/>
      <c r="H146" s="216"/>
      <c r="I146" s="217"/>
      <c r="J146" s="218"/>
      <c r="K146" s="219"/>
      <c r="L146" s="219"/>
      <c r="M146" s="23"/>
      <c r="O146" t="s">
        <v>145</v>
      </c>
      <c r="P146" t="s">
        <v>319</v>
      </c>
      <c r="Q146">
        <v>53</v>
      </c>
    </row>
    <row r="147" spans="1:17" ht="15" customHeight="1" x14ac:dyDescent="0.45">
      <c r="A147" s="211"/>
      <c r="B147" s="213"/>
      <c r="C147" s="213"/>
      <c r="D147" s="213"/>
      <c r="E147" s="213"/>
      <c r="F147" s="214"/>
      <c r="G147" s="215"/>
      <c r="H147" s="216"/>
      <c r="I147" s="217"/>
      <c r="J147" s="218"/>
      <c r="K147" s="219"/>
      <c r="L147" s="219"/>
      <c r="M147" s="23"/>
      <c r="O147" t="s">
        <v>145</v>
      </c>
      <c r="P147" t="s">
        <v>319</v>
      </c>
      <c r="Q147">
        <v>54</v>
      </c>
    </row>
    <row r="148" spans="1:17" ht="15" customHeight="1" x14ac:dyDescent="0.45">
      <c r="A148" s="211"/>
      <c r="B148" s="213"/>
      <c r="C148" s="213"/>
      <c r="D148" s="213"/>
      <c r="E148" s="213"/>
      <c r="F148" s="214"/>
      <c r="G148" s="215"/>
      <c r="H148" s="216"/>
      <c r="I148" s="217"/>
      <c r="J148" s="218"/>
      <c r="K148" s="219"/>
      <c r="L148" s="219"/>
      <c r="M148" s="23"/>
      <c r="O148" t="s">
        <v>145</v>
      </c>
      <c r="P148" t="s">
        <v>319</v>
      </c>
      <c r="Q148">
        <v>55</v>
      </c>
    </row>
    <row r="149" spans="1:17" ht="15" customHeight="1" x14ac:dyDescent="0.45">
      <c r="A149" s="211"/>
      <c r="B149" s="213"/>
      <c r="C149" s="213"/>
      <c r="D149" s="213"/>
      <c r="E149" s="213"/>
      <c r="F149" s="214"/>
      <c r="G149" s="215"/>
      <c r="H149" s="216"/>
      <c r="I149" s="217"/>
      <c r="J149" s="218"/>
      <c r="K149" s="219"/>
      <c r="L149" s="219"/>
      <c r="M149" s="23"/>
      <c r="O149" t="s">
        <v>145</v>
      </c>
      <c r="P149" t="s">
        <v>319</v>
      </c>
      <c r="Q149">
        <v>56</v>
      </c>
    </row>
    <row r="150" spans="1:17" ht="15" customHeight="1" x14ac:dyDescent="0.45">
      <c r="A150" s="211"/>
      <c r="B150" s="213"/>
      <c r="C150" s="213"/>
      <c r="D150" s="213"/>
      <c r="E150" s="213"/>
      <c r="F150" s="214"/>
      <c r="G150" s="215"/>
      <c r="H150" s="216"/>
      <c r="I150" s="217"/>
      <c r="J150" s="218"/>
      <c r="K150" s="219"/>
      <c r="L150" s="219"/>
      <c r="M150" s="23"/>
      <c r="O150" t="s">
        <v>145</v>
      </c>
      <c r="P150" t="s">
        <v>319</v>
      </c>
      <c r="Q150">
        <v>57</v>
      </c>
    </row>
    <row r="151" spans="1:17" ht="15" customHeight="1" x14ac:dyDescent="0.45">
      <c r="A151" s="211"/>
      <c r="B151" s="213"/>
      <c r="C151" s="213"/>
      <c r="D151" s="213"/>
      <c r="E151" s="213"/>
      <c r="F151" s="214"/>
      <c r="G151" s="215"/>
      <c r="H151" s="216"/>
      <c r="I151" s="217"/>
      <c r="J151" s="218"/>
      <c r="K151" s="219"/>
      <c r="L151" s="219"/>
      <c r="M151" s="23"/>
      <c r="O151" t="s">
        <v>145</v>
      </c>
      <c r="P151" t="s">
        <v>319</v>
      </c>
      <c r="Q151">
        <v>58</v>
      </c>
    </row>
    <row r="152" spans="1:17" ht="15" customHeight="1" x14ac:dyDescent="0.45">
      <c r="A152" s="211"/>
      <c r="B152" s="213"/>
      <c r="C152" s="213"/>
      <c r="D152" s="213"/>
      <c r="E152" s="213"/>
      <c r="F152" s="214"/>
      <c r="G152" s="215"/>
      <c r="H152" s="216"/>
      <c r="I152" s="217"/>
      <c r="J152" s="218"/>
      <c r="K152" s="219"/>
      <c r="L152" s="219"/>
      <c r="M152" s="23"/>
      <c r="O152" t="s">
        <v>145</v>
      </c>
      <c r="P152" t="s">
        <v>319</v>
      </c>
      <c r="Q152">
        <v>59</v>
      </c>
    </row>
    <row r="153" spans="1:17" ht="15" customHeight="1" x14ac:dyDescent="0.45">
      <c r="A153" s="211"/>
      <c r="B153" s="213"/>
      <c r="C153" s="213"/>
      <c r="D153" s="213"/>
      <c r="E153" s="213"/>
      <c r="F153" s="214"/>
      <c r="G153" s="215"/>
      <c r="H153" s="216"/>
      <c r="I153" s="217"/>
      <c r="J153" s="218"/>
      <c r="K153" s="219"/>
      <c r="L153" s="219"/>
      <c r="M153" s="23"/>
      <c r="O153" t="s">
        <v>145</v>
      </c>
      <c r="P153" t="s">
        <v>319</v>
      </c>
      <c r="Q153">
        <v>60</v>
      </c>
    </row>
    <row r="154" spans="1:17" ht="15" customHeight="1" x14ac:dyDescent="0.45">
      <c r="A154" s="211"/>
      <c r="B154" s="213"/>
      <c r="C154" s="213"/>
      <c r="D154" s="213"/>
      <c r="E154" s="213"/>
      <c r="F154" s="214"/>
      <c r="G154" s="215"/>
      <c r="H154" s="216"/>
      <c r="I154" s="217"/>
      <c r="J154" s="218"/>
      <c r="K154" s="219"/>
      <c r="L154" s="219"/>
      <c r="M154" s="23"/>
      <c r="O154" t="s">
        <v>145</v>
      </c>
      <c r="P154" t="s">
        <v>319</v>
      </c>
      <c r="Q154">
        <v>64</v>
      </c>
    </row>
    <row r="155" spans="1:17" ht="15" customHeight="1" x14ac:dyDescent="0.45">
      <c r="A155" s="211"/>
      <c r="B155" s="213"/>
      <c r="C155" s="213"/>
      <c r="D155" s="213"/>
      <c r="E155" s="213"/>
      <c r="F155" s="214"/>
      <c r="G155" s="215"/>
      <c r="H155" s="216"/>
      <c r="I155" s="217"/>
      <c r="J155" s="218"/>
      <c r="K155" s="219"/>
      <c r="L155" s="219"/>
      <c r="M155" s="23"/>
      <c r="O155" t="s">
        <v>145</v>
      </c>
      <c r="P155" t="s">
        <v>319</v>
      </c>
      <c r="Q155">
        <v>65</v>
      </c>
    </row>
    <row r="156" spans="1:17" ht="15" customHeight="1" x14ac:dyDescent="0.45">
      <c r="A156" s="211"/>
      <c r="B156" s="213"/>
      <c r="C156" s="213"/>
      <c r="D156" s="213"/>
      <c r="E156" s="213"/>
      <c r="F156" s="214"/>
      <c r="G156" s="215"/>
      <c r="H156" s="216"/>
      <c r="I156" s="217"/>
      <c r="J156" s="218"/>
      <c r="K156" s="219"/>
      <c r="L156" s="219"/>
      <c r="M156" s="23"/>
      <c r="O156" t="s">
        <v>145</v>
      </c>
      <c r="P156" t="s">
        <v>319</v>
      </c>
      <c r="Q156">
        <v>67</v>
      </c>
    </row>
    <row r="157" spans="1:17" ht="15" customHeight="1" x14ac:dyDescent="0.45">
      <c r="A157" s="211"/>
      <c r="B157" s="213"/>
      <c r="C157" s="213"/>
      <c r="D157" s="213"/>
      <c r="E157" s="213"/>
      <c r="F157" s="214"/>
      <c r="G157" s="215"/>
      <c r="H157" s="216"/>
      <c r="I157" s="217"/>
      <c r="J157" s="218"/>
      <c r="K157" s="219"/>
      <c r="L157" s="219"/>
      <c r="M157" s="23"/>
      <c r="O157" t="s">
        <v>145</v>
      </c>
      <c r="P157" t="s">
        <v>319</v>
      </c>
      <c r="Q157">
        <v>68</v>
      </c>
    </row>
    <row r="158" spans="1:17" ht="15" customHeight="1" x14ac:dyDescent="0.45">
      <c r="A158" s="211"/>
      <c r="B158" s="213"/>
      <c r="C158" s="213"/>
      <c r="D158" s="213"/>
      <c r="E158" s="213"/>
      <c r="F158" s="214"/>
      <c r="G158" s="215"/>
      <c r="H158" s="216"/>
      <c r="I158" s="217"/>
      <c r="J158" s="218"/>
      <c r="K158" s="219"/>
      <c r="L158" s="219"/>
      <c r="M158" s="23"/>
      <c r="O158" t="s">
        <v>145</v>
      </c>
      <c r="P158" t="s">
        <v>319</v>
      </c>
      <c r="Q158">
        <v>69</v>
      </c>
    </row>
    <row r="159" spans="1:17" ht="15" customHeight="1" x14ac:dyDescent="0.45">
      <c r="A159" s="211"/>
      <c r="B159" s="213"/>
      <c r="C159" s="213"/>
      <c r="D159" s="213"/>
      <c r="E159" s="213"/>
      <c r="F159" s="214"/>
      <c r="G159" s="215"/>
      <c r="H159" s="216"/>
      <c r="I159" s="217"/>
      <c r="J159" s="218"/>
      <c r="K159" s="219"/>
      <c r="L159" s="219"/>
      <c r="M159" s="23"/>
      <c r="O159" t="s">
        <v>145</v>
      </c>
      <c r="P159" t="s">
        <v>319</v>
      </c>
      <c r="Q159">
        <v>70</v>
      </c>
    </row>
    <row r="160" spans="1:17" ht="15" customHeight="1" x14ac:dyDescent="0.45">
      <c r="A160" s="211"/>
      <c r="B160" s="213"/>
      <c r="C160" s="213"/>
      <c r="D160" s="213"/>
      <c r="E160" s="213"/>
      <c r="F160" s="214"/>
      <c r="G160" s="215"/>
      <c r="H160" s="216"/>
      <c r="I160" s="217"/>
      <c r="J160" s="218"/>
      <c r="K160" s="219"/>
      <c r="L160" s="219"/>
      <c r="M160" s="23"/>
      <c r="O160" t="s">
        <v>145</v>
      </c>
      <c r="P160" t="s">
        <v>319</v>
      </c>
      <c r="Q160">
        <v>76</v>
      </c>
    </row>
    <row r="161" spans="1:17" ht="15" customHeight="1" x14ac:dyDescent="0.45">
      <c r="A161" s="211"/>
      <c r="B161" s="213"/>
      <c r="C161" s="213"/>
      <c r="D161" s="213"/>
      <c r="E161" s="213"/>
      <c r="F161" s="214"/>
      <c r="G161" s="215"/>
      <c r="H161" s="216"/>
      <c r="I161" s="217"/>
      <c r="J161" s="218"/>
      <c r="K161" s="219"/>
      <c r="L161" s="219"/>
      <c r="M161" s="23"/>
      <c r="O161" t="s">
        <v>145</v>
      </c>
      <c r="P161" t="s">
        <v>319</v>
      </c>
      <c r="Q161">
        <v>92</v>
      </c>
    </row>
    <row r="162" spans="1:17" ht="15" customHeight="1" x14ac:dyDescent="0.45">
      <c r="A162" s="211"/>
      <c r="B162" s="213"/>
      <c r="C162" s="213"/>
      <c r="D162" s="213"/>
      <c r="E162" s="213"/>
      <c r="F162" s="214"/>
      <c r="G162" s="215"/>
      <c r="H162" s="216"/>
      <c r="I162" s="217"/>
      <c r="J162" s="218"/>
      <c r="K162" s="219"/>
      <c r="L162" s="219"/>
      <c r="M162" s="23"/>
      <c r="O162" t="s">
        <v>145</v>
      </c>
      <c r="P162" t="s">
        <v>319</v>
      </c>
      <c r="Q162">
        <v>93</v>
      </c>
    </row>
    <row r="163" spans="1:17" ht="15" customHeight="1" x14ac:dyDescent="0.45">
      <c r="A163" s="211"/>
      <c r="B163" s="213"/>
      <c r="C163" s="213"/>
      <c r="D163" s="213"/>
      <c r="E163" s="213"/>
      <c r="F163" s="214"/>
      <c r="G163" s="215"/>
      <c r="H163" s="216"/>
      <c r="I163" s="217"/>
      <c r="J163" s="218"/>
      <c r="K163" s="219"/>
      <c r="L163" s="219"/>
      <c r="M163" s="23"/>
      <c r="O163" t="s">
        <v>145</v>
      </c>
      <c r="P163" t="s">
        <v>319</v>
      </c>
      <c r="Q163">
        <v>94</v>
      </c>
    </row>
    <row r="164" spans="1:17" ht="15" customHeight="1" x14ac:dyDescent="0.45">
      <c r="A164" s="211"/>
      <c r="B164" s="213"/>
      <c r="C164" s="213"/>
      <c r="D164" s="213"/>
      <c r="E164" s="213"/>
      <c r="F164" s="214"/>
      <c r="G164" s="215"/>
      <c r="H164" s="216"/>
      <c r="I164" s="217"/>
      <c r="J164" s="218"/>
      <c r="K164" s="219"/>
      <c r="L164" s="219"/>
      <c r="M164" s="23"/>
      <c r="O164" t="s">
        <v>145</v>
      </c>
      <c r="P164" t="s">
        <v>319</v>
      </c>
      <c r="Q164">
        <v>96</v>
      </c>
    </row>
    <row r="165" spans="1:17" ht="15" customHeight="1" x14ac:dyDescent="0.45">
      <c r="A165" s="211"/>
      <c r="B165" s="213"/>
      <c r="C165" s="213"/>
      <c r="D165" s="213"/>
      <c r="E165" s="213"/>
      <c r="F165" s="214"/>
      <c r="G165" s="215"/>
      <c r="H165" s="216"/>
      <c r="I165" s="217"/>
      <c r="J165" s="218"/>
      <c r="K165" s="219"/>
      <c r="L165" s="219"/>
      <c r="M165" s="23"/>
      <c r="O165" t="s">
        <v>145</v>
      </c>
      <c r="P165" t="s">
        <v>319</v>
      </c>
      <c r="Q165">
        <v>97</v>
      </c>
    </row>
    <row r="166" spans="1:17" ht="15" customHeight="1" x14ac:dyDescent="0.45">
      <c r="A166" s="211"/>
      <c r="B166" s="213"/>
      <c r="C166" s="213"/>
      <c r="D166" s="213"/>
      <c r="E166" s="213"/>
      <c r="F166" s="214"/>
      <c r="G166" s="215"/>
      <c r="H166" s="216"/>
      <c r="I166" s="217"/>
      <c r="J166" s="218"/>
      <c r="K166" s="219"/>
      <c r="L166" s="219"/>
      <c r="M166" s="23"/>
      <c r="O166" t="s">
        <v>145</v>
      </c>
      <c r="P166" t="s">
        <v>319</v>
      </c>
      <c r="Q166">
        <v>105</v>
      </c>
    </row>
    <row r="167" spans="1:17" ht="15" customHeight="1" x14ac:dyDescent="0.45">
      <c r="A167" s="211"/>
      <c r="B167" s="213"/>
      <c r="C167" s="213"/>
      <c r="D167" s="213"/>
      <c r="E167" s="213"/>
      <c r="F167" s="214"/>
      <c r="G167" s="215"/>
      <c r="H167" s="216"/>
      <c r="I167" s="217"/>
      <c r="J167" s="218"/>
      <c r="K167" s="219"/>
      <c r="L167" s="219"/>
      <c r="M167" s="23"/>
      <c r="O167" t="s">
        <v>145</v>
      </c>
      <c r="P167" t="s">
        <v>319</v>
      </c>
      <c r="Q167">
        <v>127</v>
      </c>
    </row>
    <row r="168" spans="1:17" ht="15" customHeight="1" x14ac:dyDescent="0.45">
      <c r="A168" s="211"/>
      <c r="B168" s="213"/>
      <c r="C168" s="213"/>
      <c r="D168" s="213"/>
      <c r="E168" s="213"/>
      <c r="F168" s="214"/>
      <c r="G168" s="215"/>
      <c r="H168" s="216"/>
      <c r="I168" s="217"/>
      <c r="J168" s="218"/>
      <c r="K168" s="219"/>
      <c r="L168" s="219"/>
      <c r="M168" s="23"/>
      <c r="O168" t="s">
        <v>145</v>
      </c>
      <c r="P168" t="s">
        <v>319</v>
      </c>
      <c r="Q168">
        <v>128</v>
      </c>
    </row>
    <row r="169" spans="1:17" ht="15" customHeight="1" x14ac:dyDescent="0.45">
      <c r="A169" s="211"/>
      <c r="B169" s="213"/>
      <c r="C169" s="213"/>
      <c r="D169" s="213"/>
      <c r="E169" s="213"/>
      <c r="F169" s="214"/>
      <c r="G169" s="215"/>
      <c r="H169" s="216"/>
      <c r="I169" s="217"/>
      <c r="J169" s="218"/>
      <c r="K169" s="219"/>
      <c r="L169" s="219"/>
      <c r="M169" s="23"/>
      <c r="O169" t="s">
        <v>145</v>
      </c>
      <c r="P169" t="s">
        <v>319</v>
      </c>
      <c r="Q169">
        <v>129</v>
      </c>
    </row>
    <row r="170" spans="1:17" ht="15" customHeight="1" x14ac:dyDescent="0.45">
      <c r="A170" s="211"/>
      <c r="B170" s="213"/>
      <c r="C170" s="213"/>
      <c r="D170" s="213"/>
      <c r="E170" s="213"/>
      <c r="F170" s="214"/>
      <c r="G170" s="215"/>
      <c r="H170" s="216"/>
      <c r="I170" s="217"/>
      <c r="J170" s="218"/>
      <c r="K170" s="219"/>
      <c r="L170" s="219"/>
      <c r="M170" s="23"/>
      <c r="O170" t="s">
        <v>145</v>
      </c>
      <c r="P170" t="s">
        <v>319</v>
      </c>
      <c r="Q170">
        <v>130</v>
      </c>
    </row>
    <row r="171" spans="1:17" ht="15" customHeight="1" x14ac:dyDescent="0.45">
      <c r="A171" s="211"/>
      <c r="B171" s="213"/>
      <c r="C171" s="213"/>
      <c r="D171" s="213"/>
      <c r="E171" s="213"/>
      <c r="F171" s="214"/>
      <c r="G171" s="215"/>
      <c r="H171" s="216"/>
      <c r="I171" s="217"/>
      <c r="J171" s="218"/>
      <c r="K171" s="219"/>
      <c r="L171" s="219"/>
      <c r="M171" s="23"/>
      <c r="O171" t="s">
        <v>145</v>
      </c>
      <c r="P171" t="s">
        <v>319</v>
      </c>
      <c r="Q171">
        <v>131</v>
      </c>
    </row>
    <row r="172" spans="1:17" ht="15" customHeight="1" x14ac:dyDescent="0.45">
      <c r="A172" s="211"/>
      <c r="B172" s="213"/>
      <c r="C172" s="213"/>
      <c r="D172" s="213"/>
      <c r="E172" s="213"/>
      <c r="F172" s="214"/>
      <c r="G172" s="215"/>
      <c r="H172" s="216"/>
      <c r="I172" s="217"/>
      <c r="J172" s="218"/>
      <c r="K172" s="219"/>
      <c r="L172" s="219"/>
      <c r="M172" s="23"/>
      <c r="O172" t="s">
        <v>145</v>
      </c>
      <c r="P172" t="s">
        <v>319</v>
      </c>
      <c r="Q172">
        <v>147</v>
      </c>
    </row>
    <row r="173" spans="1:17" ht="15" customHeight="1" x14ac:dyDescent="0.45">
      <c r="A173" s="211"/>
      <c r="B173" s="213"/>
      <c r="C173" s="213"/>
      <c r="D173" s="213"/>
      <c r="E173" s="213"/>
      <c r="F173" s="214"/>
      <c r="G173" s="215"/>
      <c r="H173" s="216"/>
      <c r="I173" s="217"/>
      <c r="J173" s="218"/>
      <c r="K173" s="219"/>
      <c r="L173" s="219"/>
      <c r="M173" s="23"/>
      <c r="O173" t="s">
        <v>145</v>
      </c>
      <c r="P173" t="s">
        <v>319</v>
      </c>
      <c r="Q173">
        <v>148</v>
      </c>
    </row>
    <row r="174" spans="1:17" ht="15" customHeight="1" x14ac:dyDescent="0.45">
      <c r="A174" s="211"/>
      <c r="B174" s="213"/>
      <c r="C174" s="213"/>
      <c r="D174" s="213"/>
      <c r="E174" s="213"/>
      <c r="F174" s="214"/>
      <c r="G174" s="215"/>
      <c r="H174" s="216"/>
      <c r="I174" s="217"/>
      <c r="J174" s="218"/>
      <c r="K174" s="219"/>
      <c r="L174" s="219"/>
      <c r="M174" s="23"/>
      <c r="O174" t="s">
        <v>158</v>
      </c>
      <c r="P174" t="s">
        <v>312</v>
      </c>
      <c r="Q174">
        <v>48</v>
      </c>
    </row>
    <row r="175" spans="1:17" ht="15" customHeight="1" x14ac:dyDescent="0.45">
      <c r="A175" s="211"/>
      <c r="B175" s="213"/>
      <c r="C175" s="213"/>
      <c r="D175" s="213"/>
      <c r="E175" s="213"/>
      <c r="F175" s="214"/>
      <c r="G175" s="215"/>
      <c r="H175" s="216"/>
      <c r="I175" s="217"/>
      <c r="J175" s="218"/>
      <c r="K175" s="219"/>
      <c r="L175" s="219"/>
      <c r="M175" s="23"/>
      <c r="O175" t="s">
        <v>158</v>
      </c>
      <c r="P175" t="s">
        <v>312</v>
      </c>
      <c r="Q175">
        <v>61</v>
      </c>
    </row>
    <row r="176" spans="1:17" ht="15" customHeight="1" x14ac:dyDescent="0.45">
      <c r="A176" s="211"/>
      <c r="B176" s="213"/>
      <c r="C176" s="213"/>
      <c r="D176" s="213"/>
      <c r="E176" s="213"/>
      <c r="F176" s="214"/>
      <c r="G176" s="215"/>
      <c r="H176" s="216"/>
      <c r="I176" s="217"/>
      <c r="J176" s="218"/>
      <c r="K176" s="219"/>
      <c r="L176" s="219"/>
      <c r="M176" s="23"/>
      <c r="O176" t="s">
        <v>158</v>
      </c>
      <c r="P176" t="s">
        <v>312</v>
      </c>
      <c r="Q176">
        <v>62</v>
      </c>
    </row>
    <row r="177" spans="1:17" ht="15" customHeight="1" x14ac:dyDescent="0.45">
      <c r="A177" s="211"/>
      <c r="B177" s="213"/>
      <c r="C177" s="213"/>
      <c r="D177" s="213"/>
      <c r="E177" s="213"/>
      <c r="F177" s="214"/>
      <c r="G177" s="215"/>
      <c r="H177" s="216"/>
      <c r="I177" s="217"/>
      <c r="J177" s="218"/>
      <c r="K177" s="219"/>
      <c r="L177" s="219"/>
      <c r="M177" s="23"/>
      <c r="O177" t="s">
        <v>158</v>
      </c>
      <c r="P177" t="s">
        <v>312</v>
      </c>
      <c r="Q177">
        <v>63</v>
      </c>
    </row>
    <row r="178" spans="1:17" ht="15" customHeight="1" x14ac:dyDescent="0.45">
      <c r="A178" s="211"/>
      <c r="B178" s="213"/>
      <c r="C178" s="213"/>
      <c r="D178" s="213"/>
      <c r="E178" s="213"/>
      <c r="F178" s="214"/>
      <c r="G178" s="215"/>
      <c r="H178" s="216"/>
      <c r="I178" s="217"/>
      <c r="J178" s="218"/>
      <c r="K178" s="219"/>
      <c r="L178" s="219"/>
      <c r="M178" s="23"/>
      <c r="O178" t="s">
        <v>158</v>
      </c>
      <c r="P178" t="s">
        <v>312</v>
      </c>
      <c r="Q178">
        <v>64</v>
      </c>
    </row>
    <row r="179" spans="1:17" ht="15" customHeight="1" x14ac:dyDescent="0.45">
      <c r="A179" s="211"/>
      <c r="B179" s="213"/>
      <c r="C179" s="213"/>
      <c r="D179" s="213"/>
      <c r="E179" s="213"/>
      <c r="F179" s="214"/>
      <c r="G179" s="215"/>
      <c r="H179" s="216"/>
      <c r="I179" s="217"/>
      <c r="J179" s="218"/>
      <c r="K179" s="219"/>
      <c r="L179" s="219"/>
      <c r="M179" s="23"/>
      <c r="O179" t="s">
        <v>158</v>
      </c>
      <c r="P179" t="s">
        <v>312</v>
      </c>
      <c r="Q179">
        <v>65</v>
      </c>
    </row>
    <row r="180" spans="1:17" ht="15" customHeight="1" x14ac:dyDescent="0.45">
      <c r="A180" s="211"/>
      <c r="B180" s="213"/>
      <c r="C180" s="213"/>
      <c r="D180" s="213"/>
      <c r="E180" s="213"/>
      <c r="F180" s="214"/>
      <c r="G180" s="215"/>
      <c r="H180" s="216"/>
      <c r="I180" s="217"/>
      <c r="J180" s="218"/>
      <c r="K180" s="219"/>
      <c r="L180" s="219"/>
      <c r="M180" s="23"/>
      <c r="O180" t="s">
        <v>158</v>
      </c>
      <c r="P180" t="s">
        <v>312</v>
      </c>
      <c r="Q180">
        <v>68</v>
      </c>
    </row>
    <row r="181" spans="1:17" ht="15" customHeight="1" x14ac:dyDescent="0.45">
      <c r="A181" s="211"/>
      <c r="B181" s="213"/>
      <c r="C181" s="213"/>
      <c r="D181" s="213"/>
      <c r="E181" s="213"/>
      <c r="F181" s="214"/>
      <c r="G181" s="215"/>
      <c r="H181" s="216"/>
      <c r="I181" s="217"/>
      <c r="J181" s="218"/>
      <c r="K181" s="219"/>
      <c r="L181" s="219"/>
      <c r="M181" s="23"/>
      <c r="O181" t="s">
        <v>158</v>
      </c>
      <c r="P181" t="s">
        <v>312</v>
      </c>
      <c r="Q181">
        <v>69</v>
      </c>
    </row>
    <row r="182" spans="1:17" ht="15" customHeight="1" x14ac:dyDescent="0.45">
      <c r="A182" s="211"/>
      <c r="B182" s="213"/>
      <c r="C182" s="213"/>
      <c r="D182" s="213"/>
      <c r="E182" s="213"/>
      <c r="F182" s="214"/>
      <c r="G182" s="215"/>
      <c r="H182" s="216"/>
      <c r="I182" s="217"/>
      <c r="J182" s="218"/>
      <c r="K182" s="219"/>
      <c r="L182" s="219"/>
      <c r="M182" s="23"/>
      <c r="O182" t="s">
        <v>158</v>
      </c>
      <c r="P182" t="s">
        <v>312</v>
      </c>
      <c r="Q182">
        <v>118</v>
      </c>
    </row>
    <row r="183" spans="1:17" ht="15" customHeight="1" x14ac:dyDescent="0.45">
      <c r="A183" s="211"/>
      <c r="B183" s="213"/>
      <c r="C183" s="213"/>
      <c r="D183" s="213"/>
      <c r="E183" s="213"/>
      <c r="F183" s="214"/>
      <c r="G183" s="215"/>
      <c r="H183" s="216"/>
      <c r="I183" s="217"/>
      <c r="J183" s="218"/>
      <c r="K183" s="219"/>
      <c r="L183" s="219"/>
      <c r="M183" s="23"/>
      <c r="O183" t="s">
        <v>158</v>
      </c>
      <c r="P183" t="s">
        <v>312</v>
      </c>
      <c r="Q183">
        <v>119</v>
      </c>
    </row>
    <row r="184" spans="1:17" ht="15" customHeight="1" x14ac:dyDescent="0.45">
      <c r="A184" s="211"/>
      <c r="B184" s="213"/>
      <c r="C184" s="213"/>
      <c r="D184" s="213"/>
      <c r="E184" s="213"/>
      <c r="F184" s="214"/>
      <c r="G184" s="215"/>
      <c r="H184" s="216"/>
      <c r="I184" s="217"/>
      <c r="J184" s="218"/>
      <c r="K184" s="219"/>
      <c r="L184" s="219"/>
      <c r="M184" s="220"/>
      <c r="O184" t="s">
        <v>158</v>
      </c>
      <c r="P184" t="s">
        <v>312</v>
      </c>
      <c r="Q184">
        <v>127</v>
      </c>
    </row>
    <row r="185" spans="1:17" ht="15" customHeight="1" x14ac:dyDescent="0.45">
      <c r="A185" s="211"/>
      <c r="B185" s="213"/>
      <c r="C185" s="213"/>
      <c r="D185" s="213"/>
      <c r="E185" s="213"/>
      <c r="F185" s="214"/>
      <c r="G185" s="215"/>
      <c r="H185" s="216"/>
      <c r="I185" s="217"/>
      <c r="J185" s="218"/>
      <c r="K185" s="219"/>
      <c r="L185" s="219"/>
      <c r="M185" s="23"/>
      <c r="O185" t="s">
        <v>158</v>
      </c>
      <c r="P185" t="s">
        <v>312</v>
      </c>
      <c r="Q185">
        <v>128</v>
      </c>
    </row>
    <row r="186" spans="1:17" ht="15" customHeight="1" x14ac:dyDescent="0.45">
      <c r="A186" s="211"/>
      <c r="B186" s="213"/>
      <c r="C186" s="213"/>
      <c r="D186" s="213"/>
      <c r="E186" s="213"/>
      <c r="F186" s="214"/>
      <c r="G186" s="215"/>
      <c r="H186" s="216"/>
      <c r="I186" s="217"/>
      <c r="J186" s="218"/>
      <c r="K186" s="219"/>
      <c r="L186" s="219"/>
      <c r="M186" s="220"/>
      <c r="O186" t="s">
        <v>158</v>
      </c>
      <c r="P186" t="s">
        <v>312</v>
      </c>
      <c r="Q186">
        <v>129</v>
      </c>
    </row>
    <row r="187" spans="1:17" ht="15" customHeight="1" x14ac:dyDescent="0.45">
      <c r="A187" s="211"/>
      <c r="B187" s="213"/>
      <c r="C187" s="213"/>
      <c r="D187" s="213"/>
      <c r="E187" s="213"/>
      <c r="F187" s="214"/>
      <c r="G187" s="215"/>
      <c r="H187" s="216"/>
      <c r="I187" s="217"/>
      <c r="J187" s="218"/>
      <c r="K187" s="219"/>
      <c r="L187" s="219"/>
      <c r="M187" s="23"/>
      <c r="O187" t="s">
        <v>158</v>
      </c>
      <c r="P187" t="s">
        <v>312</v>
      </c>
      <c r="Q187">
        <v>130</v>
      </c>
    </row>
    <row r="188" spans="1:17" ht="15" customHeight="1" x14ac:dyDescent="0.45">
      <c r="A188" s="211"/>
      <c r="B188" s="213"/>
      <c r="C188" s="213"/>
      <c r="D188" s="213"/>
      <c r="E188" s="213"/>
      <c r="F188" s="214"/>
      <c r="G188" s="215"/>
      <c r="H188" s="216"/>
      <c r="I188" s="217"/>
      <c r="J188" s="218"/>
      <c r="K188" s="219"/>
      <c r="L188" s="219"/>
      <c r="M188" s="23"/>
      <c r="O188" t="s">
        <v>158</v>
      </c>
      <c r="P188" t="s">
        <v>312</v>
      </c>
      <c r="Q188">
        <v>131</v>
      </c>
    </row>
    <row r="189" spans="1:17" ht="15" customHeight="1" x14ac:dyDescent="0.45">
      <c r="A189" s="211"/>
      <c r="B189" s="213"/>
      <c r="C189" s="213"/>
      <c r="D189" s="213"/>
      <c r="E189" s="213"/>
      <c r="F189" s="214"/>
      <c r="G189" s="215"/>
      <c r="H189" s="216"/>
      <c r="I189" s="217"/>
      <c r="J189" s="218"/>
      <c r="K189" s="219"/>
      <c r="L189" s="219"/>
      <c r="M189" s="23"/>
      <c r="O189" t="s">
        <v>148</v>
      </c>
      <c r="P189" t="s">
        <v>319</v>
      </c>
      <c r="Q189">
        <v>9</v>
      </c>
    </row>
    <row r="190" spans="1:17" ht="15" customHeight="1" x14ac:dyDescent="0.45">
      <c r="A190" s="211"/>
      <c r="B190" s="213"/>
      <c r="C190" s="213"/>
      <c r="D190" s="213"/>
      <c r="E190" s="213"/>
      <c r="F190" s="214"/>
      <c r="G190" s="215"/>
      <c r="H190" s="216"/>
      <c r="I190" s="217"/>
      <c r="J190" s="218"/>
      <c r="K190" s="219"/>
      <c r="L190" s="219"/>
      <c r="M190" s="23"/>
      <c r="O190" t="s">
        <v>148</v>
      </c>
      <c r="P190" t="s">
        <v>319</v>
      </c>
      <c r="Q190">
        <v>10</v>
      </c>
    </row>
    <row r="191" spans="1:17" ht="15" customHeight="1" x14ac:dyDescent="0.45">
      <c r="A191" s="211"/>
      <c r="B191" s="213"/>
      <c r="C191" s="213"/>
      <c r="D191" s="213"/>
      <c r="E191" s="213"/>
      <c r="F191" s="214"/>
      <c r="G191" s="215"/>
      <c r="H191" s="216"/>
      <c r="I191" s="217"/>
      <c r="J191" s="218"/>
      <c r="K191" s="219"/>
      <c r="L191" s="219"/>
      <c r="M191" s="23"/>
      <c r="O191" t="s">
        <v>148</v>
      </c>
      <c r="P191" t="s">
        <v>319</v>
      </c>
      <c r="Q191">
        <v>13</v>
      </c>
    </row>
    <row r="192" spans="1:17" ht="15" customHeight="1" x14ac:dyDescent="0.45">
      <c r="A192" s="211"/>
      <c r="B192" s="213"/>
      <c r="C192" s="213"/>
      <c r="D192" s="213"/>
      <c r="E192" s="213"/>
      <c r="F192" s="214"/>
      <c r="G192" s="215"/>
      <c r="H192" s="216"/>
      <c r="I192" s="217"/>
      <c r="J192" s="218"/>
      <c r="K192" s="219"/>
      <c r="L192" s="219"/>
      <c r="M192" s="23"/>
      <c r="O192" t="s">
        <v>148</v>
      </c>
      <c r="P192" t="s">
        <v>319</v>
      </c>
      <c r="Q192">
        <v>14</v>
      </c>
    </row>
    <row r="193" spans="1:17" ht="15" customHeight="1" x14ac:dyDescent="0.45">
      <c r="A193" s="211"/>
      <c r="B193" s="213"/>
      <c r="C193" s="213"/>
      <c r="D193" s="213"/>
      <c r="E193" s="213"/>
      <c r="F193" s="214"/>
      <c r="G193" s="215"/>
      <c r="H193" s="216"/>
      <c r="I193" s="217"/>
      <c r="J193" s="218"/>
      <c r="K193" s="219"/>
      <c r="L193" s="219"/>
      <c r="M193" s="23"/>
      <c r="O193" t="s">
        <v>148</v>
      </c>
      <c r="P193" t="s">
        <v>319</v>
      </c>
      <c r="Q193">
        <v>15</v>
      </c>
    </row>
    <row r="194" spans="1:17" ht="15" customHeight="1" x14ac:dyDescent="0.45">
      <c r="J194" s="221"/>
      <c r="M194" s="219"/>
      <c r="O194" t="s">
        <v>148</v>
      </c>
      <c r="P194" t="s">
        <v>319</v>
      </c>
      <c r="Q194">
        <v>16</v>
      </c>
    </row>
    <row r="195" spans="1:17" ht="15" customHeight="1" x14ac:dyDescent="0.45">
      <c r="O195" t="s">
        <v>148</v>
      </c>
      <c r="P195" t="s">
        <v>319</v>
      </c>
      <c r="Q195">
        <v>17</v>
      </c>
    </row>
    <row r="196" spans="1:17" ht="15" customHeight="1" x14ac:dyDescent="0.45">
      <c r="J196" s="222"/>
      <c r="M196" s="223"/>
      <c r="O196" t="s">
        <v>148</v>
      </c>
      <c r="P196" t="s">
        <v>319</v>
      </c>
      <c r="Q196">
        <v>18</v>
      </c>
    </row>
    <row r="197" spans="1:17" ht="15" customHeight="1" x14ac:dyDescent="0.45">
      <c r="J197" s="224"/>
      <c r="O197" t="s">
        <v>148</v>
      </c>
      <c r="P197" t="s">
        <v>319</v>
      </c>
      <c r="Q197">
        <v>49</v>
      </c>
    </row>
    <row r="198" spans="1:17" ht="15" customHeight="1" x14ac:dyDescent="0.45">
      <c r="O198" t="s">
        <v>148</v>
      </c>
      <c r="P198" t="s">
        <v>319</v>
      </c>
      <c r="Q198">
        <v>66</v>
      </c>
    </row>
    <row r="199" spans="1:17" ht="15" customHeight="1" x14ac:dyDescent="0.45">
      <c r="O199" t="s">
        <v>148</v>
      </c>
      <c r="P199" t="s">
        <v>319</v>
      </c>
      <c r="Q199">
        <v>81</v>
      </c>
    </row>
    <row r="200" spans="1:17" ht="15" customHeight="1" x14ac:dyDescent="0.45">
      <c r="O200" t="s">
        <v>148</v>
      </c>
      <c r="P200" t="s">
        <v>319</v>
      </c>
      <c r="Q200">
        <v>82</v>
      </c>
    </row>
    <row r="201" spans="1:17" ht="15" customHeight="1" x14ac:dyDescent="0.45">
      <c r="O201" t="s">
        <v>148</v>
      </c>
      <c r="P201" t="s">
        <v>319</v>
      </c>
      <c r="Q201">
        <v>83</v>
      </c>
    </row>
    <row r="202" spans="1:17" ht="15" customHeight="1" x14ac:dyDescent="0.45">
      <c r="O202" t="s">
        <v>148</v>
      </c>
      <c r="P202" t="s">
        <v>319</v>
      </c>
      <c r="Q202">
        <v>84</v>
      </c>
    </row>
    <row r="203" spans="1:17" ht="15" customHeight="1" x14ac:dyDescent="0.45">
      <c r="O203" t="s">
        <v>148</v>
      </c>
      <c r="P203" t="s">
        <v>319</v>
      </c>
      <c r="Q203">
        <v>85</v>
      </c>
    </row>
    <row r="204" spans="1:17" ht="15" customHeight="1" x14ac:dyDescent="0.45">
      <c r="O204" t="s">
        <v>148</v>
      </c>
      <c r="P204" t="s">
        <v>319</v>
      </c>
      <c r="Q204">
        <v>86</v>
      </c>
    </row>
    <row r="205" spans="1:17" ht="15" customHeight="1" x14ac:dyDescent="0.45">
      <c r="O205" t="s">
        <v>148</v>
      </c>
      <c r="P205" t="s">
        <v>319</v>
      </c>
      <c r="Q205">
        <v>99</v>
      </c>
    </row>
    <row r="206" spans="1:17" ht="15" customHeight="1" x14ac:dyDescent="0.45">
      <c r="O206" t="s">
        <v>148</v>
      </c>
      <c r="P206" t="s">
        <v>319</v>
      </c>
      <c r="Q206">
        <v>100</v>
      </c>
    </row>
    <row r="207" spans="1:17" ht="15" customHeight="1" x14ac:dyDescent="0.45">
      <c r="O207" t="s">
        <v>148</v>
      </c>
      <c r="P207" t="s">
        <v>319</v>
      </c>
      <c r="Q207">
        <v>101</v>
      </c>
    </row>
    <row r="208" spans="1:17" ht="15" customHeight="1" x14ac:dyDescent="0.45">
      <c r="O208" t="s">
        <v>148</v>
      </c>
      <c r="P208" t="s">
        <v>319</v>
      </c>
      <c r="Q208">
        <v>102</v>
      </c>
    </row>
    <row r="209" spans="15:17" ht="15" customHeight="1" x14ac:dyDescent="0.45">
      <c r="O209" t="s">
        <v>148</v>
      </c>
      <c r="P209" t="s">
        <v>319</v>
      </c>
      <c r="Q209">
        <v>103</v>
      </c>
    </row>
    <row r="210" spans="15:17" ht="15" customHeight="1" x14ac:dyDescent="0.45">
      <c r="O210" t="s">
        <v>148</v>
      </c>
      <c r="P210" t="s">
        <v>319</v>
      </c>
      <c r="Q210">
        <v>104</v>
      </c>
    </row>
    <row r="211" spans="15:17" ht="15" customHeight="1" x14ac:dyDescent="0.45">
      <c r="O211" t="s">
        <v>148</v>
      </c>
      <c r="P211" t="s">
        <v>319</v>
      </c>
      <c r="Q211">
        <v>125</v>
      </c>
    </row>
    <row r="212" spans="15:17" ht="15" customHeight="1" x14ac:dyDescent="0.45">
      <c r="O212" t="s">
        <v>148</v>
      </c>
      <c r="P212" t="s">
        <v>319</v>
      </c>
      <c r="Q212">
        <v>126</v>
      </c>
    </row>
    <row r="213" spans="15:17" ht="15" customHeight="1" x14ac:dyDescent="0.45">
      <c r="O213" t="s">
        <v>148</v>
      </c>
      <c r="P213" t="s">
        <v>319</v>
      </c>
      <c r="Q213">
        <v>144</v>
      </c>
    </row>
    <row r="214" spans="15:17" ht="15" customHeight="1" x14ac:dyDescent="0.45">
      <c r="O214" t="s">
        <v>148</v>
      </c>
      <c r="P214" t="s">
        <v>319</v>
      </c>
      <c r="Q214">
        <v>145</v>
      </c>
    </row>
    <row r="215" spans="15:17" ht="15" customHeight="1" x14ac:dyDescent="0.45">
      <c r="O215" t="s">
        <v>155</v>
      </c>
      <c r="P215" t="s">
        <v>312</v>
      </c>
      <c r="Q215">
        <v>7</v>
      </c>
    </row>
    <row r="216" spans="15:17" ht="15" customHeight="1" x14ac:dyDescent="0.45">
      <c r="O216" t="s">
        <v>144</v>
      </c>
      <c r="P216" t="s">
        <v>319</v>
      </c>
      <c r="Q216">
        <v>89</v>
      </c>
    </row>
    <row r="217" spans="15:17" ht="15" customHeight="1" x14ac:dyDescent="0.45">
      <c r="O217" t="s">
        <v>144</v>
      </c>
      <c r="P217" t="s">
        <v>319</v>
      </c>
      <c r="Q217">
        <v>90</v>
      </c>
    </row>
    <row r="218" spans="15:17" ht="15" customHeight="1" x14ac:dyDescent="0.45">
      <c r="O218" t="s">
        <v>144</v>
      </c>
      <c r="P218" t="s">
        <v>319</v>
      </c>
      <c r="Q218">
        <v>91</v>
      </c>
    </row>
    <row r="219" spans="15:17" ht="15" customHeight="1" x14ac:dyDescent="0.45">
      <c r="O219" t="s">
        <v>144</v>
      </c>
      <c r="P219" t="s">
        <v>319</v>
      </c>
      <c r="Q219">
        <v>98</v>
      </c>
    </row>
    <row r="220" spans="15:17" ht="15" customHeight="1" x14ac:dyDescent="0.45">
      <c r="O220" t="s">
        <v>165</v>
      </c>
      <c r="P220" t="s">
        <v>312</v>
      </c>
      <c r="Q220">
        <v>77</v>
      </c>
    </row>
    <row r="221" spans="15:17" ht="15" customHeight="1" x14ac:dyDescent="0.45">
      <c r="O221" t="s">
        <v>165</v>
      </c>
      <c r="P221" t="s">
        <v>312</v>
      </c>
      <c r="Q221">
        <v>98</v>
      </c>
    </row>
    <row r="222" spans="15:17" ht="15" customHeight="1" x14ac:dyDescent="0.45">
      <c r="O222" t="s">
        <v>165</v>
      </c>
      <c r="P222" t="s">
        <v>312</v>
      </c>
      <c r="Q222">
        <v>109</v>
      </c>
    </row>
    <row r="223" spans="15:17" ht="15" customHeight="1" x14ac:dyDescent="0.45">
      <c r="O223" t="s">
        <v>165</v>
      </c>
      <c r="P223" t="s">
        <v>312</v>
      </c>
      <c r="Q223">
        <v>110</v>
      </c>
    </row>
    <row r="224" spans="15:17" ht="15" customHeight="1" x14ac:dyDescent="0.45">
      <c r="O224" t="s">
        <v>149</v>
      </c>
      <c r="P224" t="s">
        <v>319</v>
      </c>
      <c r="Q224">
        <v>8</v>
      </c>
    </row>
    <row r="225" spans="15:17" ht="15" customHeight="1" x14ac:dyDescent="0.45">
      <c r="O225" t="s">
        <v>150</v>
      </c>
      <c r="P225" t="s">
        <v>319</v>
      </c>
      <c r="Q225">
        <v>95</v>
      </c>
    </row>
    <row r="226" spans="15:17" ht="15" customHeight="1" x14ac:dyDescent="0.45">
      <c r="O226" t="s">
        <v>150</v>
      </c>
      <c r="P226" t="s">
        <v>319</v>
      </c>
      <c r="Q226">
        <v>109</v>
      </c>
    </row>
    <row r="227" spans="15:17" ht="15" customHeight="1" x14ac:dyDescent="0.45">
      <c r="O227" t="s">
        <v>150</v>
      </c>
      <c r="P227" t="s">
        <v>319</v>
      </c>
      <c r="Q227">
        <v>110</v>
      </c>
    </row>
    <row r="228" spans="15:17" ht="15" customHeight="1" x14ac:dyDescent="0.45">
      <c r="O228" t="s">
        <v>150</v>
      </c>
      <c r="P228" t="s">
        <v>319</v>
      </c>
      <c r="Q228">
        <v>136</v>
      </c>
    </row>
    <row r="229" spans="15:17" ht="15" customHeight="1" x14ac:dyDescent="0.45">
      <c r="O229" t="s">
        <v>150</v>
      </c>
      <c r="P229" t="s">
        <v>319</v>
      </c>
      <c r="Q229">
        <v>137</v>
      </c>
    </row>
    <row r="230" spans="15:17" ht="15" customHeight="1" x14ac:dyDescent="0.45">
      <c r="O230" t="s">
        <v>150</v>
      </c>
      <c r="P230" t="s">
        <v>319</v>
      </c>
      <c r="Q230">
        <v>138</v>
      </c>
    </row>
    <row r="231" spans="15:17" ht="15" customHeight="1" x14ac:dyDescent="0.45">
      <c r="O231" t="s">
        <v>159</v>
      </c>
      <c r="P231" t="s">
        <v>312</v>
      </c>
      <c r="Q231">
        <v>87</v>
      </c>
    </row>
    <row r="232" spans="15:17" ht="15" customHeight="1" x14ac:dyDescent="0.45">
      <c r="O232" t="s">
        <v>159</v>
      </c>
      <c r="P232" t="s">
        <v>312</v>
      </c>
      <c r="Q232">
        <v>88</v>
      </c>
    </row>
    <row r="233" spans="15:17" ht="15" customHeight="1" x14ac:dyDescent="0.45">
      <c r="O233" t="s">
        <v>159</v>
      </c>
      <c r="P233" t="s">
        <v>312</v>
      </c>
      <c r="Q233">
        <v>106</v>
      </c>
    </row>
    <row r="234" spans="15:17" ht="15" customHeight="1" x14ac:dyDescent="0.45">
      <c r="O234" t="s">
        <v>159</v>
      </c>
      <c r="P234" t="s">
        <v>312</v>
      </c>
      <c r="Q234">
        <v>107</v>
      </c>
    </row>
    <row r="235" spans="15:17" ht="15" customHeight="1" x14ac:dyDescent="0.45">
      <c r="O235" t="s">
        <v>159</v>
      </c>
      <c r="P235" t="s">
        <v>312</v>
      </c>
      <c r="Q235">
        <v>108</v>
      </c>
    </row>
    <row r="236" spans="15:17" ht="14.25" customHeight="1" x14ac:dyDescent="0.45">
      <c r="O236" t="s">
        <v>159</v>
      </c>
      <c r="P236" t="s">
        <v>312</v>
      </c>
      <c r="Q236">
        <v>118</v>
      </c>
    </row>
    <row r="237" spans="15:17" ht="14.25" customHeight="1" x14ac:dyDescent="0.45">
      <c r="O237" t="s">
        <v>159</v>
      </c>
      <c r="P237" t="s">
        <v>312</v>
      </c>
      <c r="Q237">
        <v>119</v>
      </c>
    </row>
    <row r="238" spans="15:17" ht="14.25" customHeight="1" x14ac:dyDescent="0.45">
      <c r="O238" t="s">
        <v>159</v>
      </c>
      <c r="P238" t="s">
        <v>312</v>
      </c>
      <c r="Q238">
        <v>147</v>
      </c>
    </row>
    <row r="239" spans="15:17" ht="14.25" customHeight="1" x14ac:dyDescent="0.45">
      <c r="O239" t="s">
        <v>159</v>
      </c>
      <c r="P239" t="s">
        <v>312</v>
      </c>
      <c r="Q239">
        <v>148</v>
      </c>
    </row>
    <row r="240" spans="15:17" ht="14.25" customHeight="1" x14ac:dyDescent="0.45">
      <c r="O240" t="s">
        <v>159</v>
      </c>
      <c r="P240" t="s">
        <v>312</v>
      </c>
      <c r="Q240">
        <v>149</v>
      </c>
    </row>
    <row r="241" spans="15:17" ht="14.25" customHeight="1" x14ac:dyDescent="0.45">
      <c r="O241" t="s">
        <v>162</v>
      </c>
      <c r="P241" t="s">
        <v>312</v>
      </c>
      <c r="Q241">
        <v>8</v>
      </c>
    </row>
    <row r="242" spans="15:17" ht="14.25" customHeight="1" x14ac:dyDescent="0.45">
      <c r="O242" t="s">
        <v>162</v>
      </c>
      <c r="P242" t="s">
        <v>312</v>
      </c>
      <c r="Q242">
        <v>13</v>
      </c>
    </row>
    <row r="243" spans="15:17" ht="14.25" customHeight="1" x14ac:dyDescent="0.45">
      <c r="O243" t="s">
        <v>162</v>
      </c>
      <c r="P243" t="s">
        <v>312</v>
      </c>
      <c r="Q243">
        <v>14</v>
      </c>
    </row>
    <row r="244" spans="15:17" ht="14.25" customHeight="1" x14ac:dyDescent="0.45">
      <c r="O244" t="s">
        <v>162</v>
      </c>
      <c r="P244" t="s">
        <v>312</v>
      </c>
      <c r="Q244">
        <v>15</v>
      </c>
    </row>
    <row r="245" spans="15:17" ht="14.25" customHeight="1" x14ac:dyDescent="0.45">
      <c r="O245" t="s">
        <v>162</v>
      </c>
      <c r="P245" t="s">
        <v>312</v>
      </c>
      <c r="Q245">
        <v>74</v>
      </c>
    </row>
    <row r="246" spans="15:17" ht="14.25" customHeight="1" x14ac:dyDescent="0.45">
      <c r="O246" t="s">
        <v>162</v>
      </c>
      <c r="P246" t="s">
        <v>312</v>
      </c>
      <c r="Q246">
        <v>75</v>
      </c>
    </row>
    <row r="247" spans="15:17" ht="14.25" customHeight="1" x14ac:dyDescent="0.45">
      <c r="O247" t="s">
        <v>162</v>
      </c>
      <c r="P247" t="s">
        <v>312</v>
      </c>
      <c r="Q247">
        <v>89</v>
      </c>
    </row>
    <row r="248" spans="15:17" ht="14.25" customHeight="1" x14ac:dyDescent="0.45">
      <c r="O248" t="s">
        <v>162</v>
      </c>
      <c r="P248" t="s">
        <v>312</v>
      </c>
      <c r="Q248">
        <v>96</v>
      </c>
    </row>
    <row r="249" spans="15:17" ht="14.25" customHeight="1" x14ac:dyDescent="0.45">
      <c r="O249" t="s">
        <v>162</v>
      </c>
      <c r="P249" t="s">
        <v>312</v>
      </c>
      <c r="Q249">
        <v>97</v>
      </c>
    </row>
    <row r="250" spans="15:17" ht="14.25" customHeight="1" x14ac:dyDescent="0.45">
      <c r="O250" t="s">
        <v>162</v>
      </c>
      <c r="P250" t="s">
        <v>312</v>
      </c>
      <c r="Q250">
        <v>99</v>
      </c>
    </row>
    <row r="251" spans="15:17" ht="14.25" customHeight="1" x14ac:dyDescent="0.45">
      <c r="O251" t="s">
        <v>162</v>
      </c>
      <c r="P251" t="s">
        <v>312</v>
      </c>
      <c r="Q251">
        <v>100</v>
      </c>
    </row>
    <row r="252" spans="15:17" ht="14.25" customHeight="1" x14ac:dyDescent="0.45">
      <c r="O252" t="s">
        <v>162</v>
      </c>
      <c r="P252" t="s">
        <v>312</v>
      </c>
      <c r="Q252">
        <v>101</v>
      </c>
    </row>
    <row r="253" spans="15:17" ht="14.25" customHeight="1" x14ac:dyDescent="0.45">
      <c r="O253" t="s">
        <v>162</v>
      </c>
      <c r="P253" t="s">
        <v>312</v>
      </c>
      <c r="Q253">
        <v>102</v>
      </c>
    </row>
    <row r="254" spans="15:17" ht="14.25" customHeight="1" x14ac:dyDescent="0.45">
      <c r="O254" t="s">
        <v>162</v>
      </c>
      <c r="P254" t="s">
        <v>312</v>
      </c>
      <c r="Q254">
        <v>103</v>
      </c>
    </row>
    <row r="255" spans="15:17" ht="14.25" customHeight="1" x14ac:dyDescent="0.45">
      <c r="O255" t="s">
        <v>162</v>
      </c>
      <c r="P255" t="s">
        <v>312</v>
      </c>
      <c r="Q255">
        <v>104</v>
      </c>
    </row>
    <row r="256" spans="15:17" ht="14.25" customHeight="1" x14ac:dyDescent="0.45">
      <c r="O256" t="s">
        <v>162</v>
      </c>
      <c r="P256" t="s">
        <v>312</v>
      </c>
      <c r="Q256">
        <v>144</v>
      </c>
    </row>
    <row r="257" spans="15:17" ht="14.25" customHeight="1" x14ac:dyDescent="0.45">
      <c r="O257" t="s">
        <v>162</v>
      </c>
      <c r="P257" t="s">
        <v>312</v>
      </c>
      <c r="Q257">
        <v>145</v>
      </c>
    </row>
    <row r="258" spans="15:17" ht="14.25" customHeight="1" x14ac:dyDescent="0.45">
      <c r="O258" t="s">
        <v>162</v>
      </c>
      <c r="P258" t="s">
        <v>312</v>
      </c>
      <c r="Q258">
        <v>149</v>
      </c>
    </row>
    <row r="259" spans="15:17" ht="14.25" customHeight="1" x14ac:dyDescent="0.45"/>
    <row r="260" spans="15:17" ht="14.25" customHeight="1" x14ac:dyDescent="0.45"/>
    <row r="261" spans="15:17" ht="14.25" customHeight="1" x14ac:dyDescent="0.45"/>
    <row r="262" spans="15:17" ht="14.25" customHeight="1" x14ac:dyDescent="0.45"/>
    <row r="263" spans="15:17" ht="14.25" customHeight="1" x14ac:dyDescent="0.45"/>
    <row r="264" spans="15:17" ht="14.25" customHeight="1" x14ac:dyDescent="0.45"/>
    <row r="265" spans="15:17" ht="14.25" customHeight="1" x14ac:dyDescent="0.45"/>
    <row r="266" spans="15:17" ht="14.25" customHeight="1" x14ac:dyDescent="0.45"/>
    <row r="267" spans="15:17" ht="14.25" customHeight="1" x14ac:dyDescent="0.45"/>
    <row r="268" spans="15:17" ht="14.25" customHeight="1" x14ac:dyDescent="0.45"/>
    <row r="269" spans="15:17" ht="14.25" customHeight="1" x14ac:dyDescent="0.45"/>
    <row r="270" spans="15:17" ht="14.25" customHeight="1" x14ac:dyDescent="0.45"/>
    <row r="271" spans="15:17" ht="14.25" customHeight="1" x14ac:dyDescent="0.45"/>
    <row r="272" spans="15:17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</sheetData>
  <mergeCells count="9">
    <mergeCell ref="J44:L44"/>
    <mergeCell ref="J45:L45"/>
    <mergeCell ref="J46:L46"/>
    <mergeCell ref="J47:M47"/>
    <mergeCell ref="A1:M1"/>
    <mergeCell ref="A2:C2"/>
    <mergeCell ref="E2:M2"/>
    <mergeCell ref="J42:L42"/>
    <mergeCell ref="J43:L43"/>
  </mergeCells>
  <dataValidations count="1">
    <dataValidation type="list" sqref="D2" xr:uid="{00000000-0002-0000-0600-000000000000}">
      <formula1>$R$4:$R$27</formula1>
      <formula2>0</formula2>
    </dataValidation>
  </dataValidations>
  <pageMargins left="0.4" right="0.4" top="0.5" bottom="0.5" header="0.511811023622047" footer="0.2"/>
  <pageSetup paperSize="9" fitToHeight="0" orientation="landscape" horizontalDpi="300" verticalDpi="300"/>
  <headerFooter>
    <oddFooter>&amp;C&amp;8 Page &amp;P of &amp;N  |  PT ITSEC ASIA — CONFIDENTIAL  |  Printed: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📋 Instructions</vt:lpstr>
      <vt:lpstr>Config</vt:lpstr>
      <vt:lpstr>Raw Data</vt:lpstr>
      <vt:lpstr>Commission Data — Sales</vt:lpstr>
      <vt:lpstr>Commission Data — Presales</vt:lpstr>
      <vt:lpstr>Summary</vt:lpstr>
      <vt:lpstr>Commission Slip</vt:lpstr>
      <vt:lpstr>'Commission Slip'!Print_Area</vt:lpstr>
      <vt:lpstr>'Commission Slip'!Print_Titles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Sebastien Poutignat</cp:lastModifiedBy>
  <cp:revision>0</cp:revision>
  <cp:lastPrinted>2026-06-09T05:48:47Z</cp:lastPrinted>
  <dcterms:created xsi:type="dcterms:W3CDTF">2026-06-05T04:03:33Z</dcterms:created>
  <dcterms:modified xsi:type="dcterms:W3CDTF">2026-06-29T11:35:11Z</dcterms:modified>
  <dc:language>en-US</dc:language>
</cp:coreProperties>
</file>